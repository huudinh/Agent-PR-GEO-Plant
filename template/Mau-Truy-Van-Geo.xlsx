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Mũi- Huong dan &amp; Chien luoc" sheetId="1" r:id="rId5"/>
    <sheet state="visible" name="2. Mũi- Hanh vi KH" sheetId="2" r:id="rId6"/>
    <sheet state="visible" name="3. Mũi- Bo truy van Master" sheetId="3" r:id="rId7"/>
    <sheet state="visible" name="Mũi- Prompt do luong GEO" sheetId="4" r:id="rId8"/>
    <sheet state="visible" name="4. Mũi- Ban do noi dung" sheetId="5" r:id="rId9"/>
    <sheet state="hidden" name="5. Mũi- Prompt do luong GEO" sheetId="6" r:id="rId10"/>
    <sheet state="visible" name="6. Mũi- Rao phap ly KF-11" sheetId="7" r:id="rId11"/>
  </sheets>
  <definedNames>
    <definedName hidden="1" localSheetId="2" name="_xlnm._FilterDatabase">'3. Mũi- Bo truy van Master'!$A$4:$P$266</definedName>
    <definedName hidden="1" localSheetId="4" name="_xlnm._FilterDatabase">'4. Mũi- Ban do noi dung'!$A$4:$P$20</definedName>
  </definedNames>
  <calcPr/>
</workbook>
</file>

<file path=xl/sharedStrings.xml><?xml version="1.0" encoding="utf-8"?>
<sst xmlns="http://schemas.openxmlformats.org/spreadsheetml/2006/main" count="5049" uniqueCount="1630">
  <si>
    <t>MŨI — THẤU HIỂU HÀNH VI KHÁCH HÀNG · 6 GIAI ĐOẠN HÀNH TRÌNH</t>
  </si>
  <si>
    <t>MŨI — HƯỚNG DẪN &amp; CHIẾN LƯỢC  |  Bộ truy vấn GEO thẩm mỹ mũi · KANGNAM GROWTH OPERATING AI</t>
  </si>
  <si>
    <t>MŨI — BỘ TRUY VẤN MASTER (gộp Master + Top 20% ưu tiên)  |  ChatGPT · Gemini · Google AI Overview</t>
  </si>
  <si>
    <t>ID</t>
  </si>
  <si>
    <t>CỤM CHỦ ĐỀ</t>
  </si>
  <si>
    <t>GIAI ĐOẠN</t>
  </si>
  <si>
    <t>TRUY VẤN KHÁCH GÕ VÀO AI</t>
  </si>
  <si>
    <t>Dùng để brief content, huấn luyện tư vấn viên và thiết kế kịch bản chốt. Mỗi giai đoạn một nỗi sợ khác nhau — trả lời sai nỗi sợ thì mất khách dù dịch vụ tốt. Ưu tiên: S3 ★★★ là điểm quyết định; S2 · S4 · S5 ★★; S1 · S6 ★ chạy nền.</t>
  </si>
  <si>
    <t>GÓC HỎI
(fan-out)</t>
  </si>
  <si>
    <t>NHIỆT ĐỘ</t>
  </si>
  <si>
    <t>KHUYẾN NGHỊ CỤM ƯU TIÊN THEO NGUYÊN TẮC 80/20</t>
  </si>
  <si>
    <t>ƯU TIÊN</t>
  </si>
  <si>
    <t>GIÁ TRỊ DT</t>
  </si>
  <si>
    <t>File MẪU CHUẨN: 6 sheet theo trục Đối tượng → Hành trình KH → Truy vấn → Nội dung → Đo lường → Pháp lý. Mọi con số trong file là công thức liên kết sheet 3 — nhân bản cả bộ để làm dịch vụ khác. Cập nhật 11/09/2026 (v3).</t>
  </si>
  <si>
    <t>NHÓM 80/20</t>
  </si>
  <si>
    <t>Cột I–K tự đếm từ sheet 3 (số truy vấn, số CORE, % điểm ưu tiên của giai đoạn). Giai đoạn ở sheet 3 phải dùng đúng 6 giá trị chuẩn ở cột A.</t>
  </si>
  <si>
    <t>TẦNG ƯU TIÊN</t>
  </si>
  <si>
    <t>THỨ TỰ TRIỂN KHAI
(CORE)</t>
  </si>
  <si>
    <t>ĐIỂM ƯU TIÊN</t>
  </si>
  <si>
    <t>KHÁCH ĐANG NGHĨ GÌ</t>
  </si>
  <si>
    <t>TỪ KHOÁ ƯU TIÊN
(đề xuất)</t>
  </si>
  <si>
    <t>Tối ưu để ChatGPT · Gemini · Google AI Overview TRÍCH DẪN Kangnam khi khách hỏi về nâng mũi / thẩm mỹ mũi / sửa mũi. Ô vàng = ô được phép nhập/chỉnh; ô khác là công thức hoặc nội dung chuẩn.</t>
  </si>
  <si>
    <t>NỖI SỢ CHI PHỐI</t>
  </si>
  <si>
    <t>KHỐI TRẢ LỜI CẦN CÓ (brief giao content)</t>
  </si>
  <si>
    <t>KHÁT KHAO THẬT</t>
  </si>
  <si>
    <t>TRANG ĐÍCH KANGNAM (KF-04)</t>
  </si>
  <si>
    <t>TRIGGER CHUYỂN GIAI ĐOẠN</t>
  </si>
  <si>
    <t>RÀO PHÁP LÝ (KF-11)</t>
  </si>
  <si>
    <t>KANGNAM PHẢI CÓ GÌ</t>
  </si>
  <si>
    <t>CỤM TRUY VẤN</t>
  </si>
  <si>
    <t>1 · INSIGHT CHIẾN LƯỢC — VÌ SAO BỘ NÀY KHÁC BỘ TỪ KHOÁ SEO CŨ</t>
  </si>
  <si>
    <t>SỐ TV</t>
  </si>
  <si>
    <t>ChatGPT</t>
  </si>
  <si>
    <t>CORE</t>
  </si>
  <si>
    <t>Gemini</t>
  </si>
  <si>
    <t>% ĐIỂM</t>
  </si>
  <si>
    <t>AI Overview</t>
  </si>
  <si>
    <t>S1 · NHẬN BIẾT (Cold)</t>
  </si>
  <si>
    <t>ĐỐI THỦ ĐƯỢC AI NHẮC (ghi chú)</t>
  </si>
  <si>
    <t>• Truy vấn vào AI dài gấp ~6 lần truy vấn Google (trung bình 23 từ so với 3–4 từ). Khách không gõ "nâng mũi giá" nữa mà gõ nguyên một câu chuyện: "tôi 32 tuổi, da mũi dày, đã tiêm filler 2 lần, giờ muốn nâng cấu trúc thì có được không". Bộ từ khóa ngắn không còn khớp.</t>
  </si>
  <si>
    <t>★ Nền</t>
  </si>
  <si>
    <t>• AI "bung" (query fan-out) một câu hỏi của khách thành 8–20 truy vấn con rồi mới tổng hợp câu trả lời. Chỉ 32% trích dẫn đến từ trang top 10 Google — 68% đến từ trang xếp ngoài top 10 nhưng khớp đúng một truy vấn con. Đây là lý do một cơ sở SEO tốt vẫn có thể bị AI bỏ qua hoàn toàn.</t>
  </si>
  <si>
    <t>"Mũi mình trông không ổn nhưng không biết gọi là gì." Chưa nghĩ đến phẫu thuật. Soi gương, xem ảnh cũ, so với người khác.</t>
  </si>
  <si>
    <t>• 88% thương hiệu KHÔNG được AI trích dẫn nếu chỉ tối ưu SEO truyền thống. Ngược lại, thương hiệu phủ được trên 80% không gian chủ đề giữ được ~85% mức hiển thị trong AI.</t>
  </si>
  <si>
    <t>Sợ bị đánh giá là "thích làm màu". Sợ chính mình đang quá khắt khe.</t>
  </si>
  <si>
    <t>Được nhìn thấy bản thân trong ảnh mà không né ống kính.</t>
  </si>
  <si>
    <t>• Hệ quả cho Kangnam: cuộc chơi không phải "lên top từ khóa", mà là PHỦ KÍN KHÔNG GIAN CÂU HỎI của một khách hàng mũi — từ lúc soi gương đến lúc tái khám.</t>
  </si>
  <si>
    <t>Một sự kiện sắp tới (cưới, phỏng vấn, họp lớp) HOẶC một bức ảnh xấu.</t>
  </si>
  <si>
    <t>Nội dung định danh vấn đề, không bán hàng. Bảng phân loại dáng mũi, chỉ số nhân trắc. Cửa vào rộng nhất của phễu.</t>
  </si>
  <si>
    <t>C01 · C02 · C13</t>
  </si>
  <si>
    <t>2 · KẾT LUẬN 80/20 — TẦNG ƯU TIÊN &amp; PHÂN BỔ NGUỒN LỰC (tự tính từ sheet 3)</t>
  </si>
  <si>
    <t>Tầng</t>
  </si>
  <si>
    <t>Xếp hạng cụm theo điểm ưu tiên (giá trị × độ gần chuyển đổi × cơ hội GEO). Tầng A = làm trước trong 90 ngày với 70% ngân sách nội dung; B = sau khi A xong ~60%; C–D chạy nền để giữ độ phủ chủ đề. Cột V (vàng) chỉnh được — điểm và % tự tính lại; nếu thứ hạng đổi, sắp lại bảng theo cột Y.</t>
  </si>
  <si>
    <t>Số cụm</t>
  </si>
  <si>
    <t>Số truy vấn</t>
  </si>
  <si>
    <t>ĐIỂM ƯU TIÊN = Giá trị DT (Cao 3 · TB 2 · Thấp 1) × Nhiệt độ (Hot 3 · Warm 2 · Cold 1) × Ưu tiên (P1 3 · P2 2 · P3 1) × Cơ hội GEO của cụm (1–3, chỉnh ở cột V bảng bên phải). Tầng ưu tiên lấy theo cụm. Từ khoá ưu tiên là đề xuất — SEO xác nhận bằng volume thật.</t>
  </si>
  <si>
    <t>% truy vấn</t>
  </si>
  <si>
    <t>% điểm ưu tiên</t>
  </si>
  <si>
    <t>Phân bổ ngân sách nội dung đề xuất &amp; cụm</t>
  </si>
  <si>
    <t>A · CORE 80/20</t>
  </si>
  <si>
    <t>x</t>
  </si>
  <si>
    <t>S2 · TÌM HIỂU (Warm)</t>
  </si>
  <si>
    <t>★★</t>
  </si>
  <si>
    <t>HẠNG</t>
  </si>
  <si>
    <t>"Có bao nhiêu cách? Cái nào hợp với mũi tôi?" Bắt đầu học thuật ngữ: cấu trúc, bọc sụn, S-line, sụn sườn.</t>
  </si>
  <si>
    <t>MÃ</t>
  </si>
  <si>
    <t>Sợ chọn sai phương pháp. Sợ bị tư vấn theo hướng đắt tiền chứ không phải hướng đúng.</t>
  </si>
  <si>
    <t>CỤM</t>
  </si>
  <si>
    <t>Hiểu đủ để tự quyết định, không phải nghe theo ai.</t>
  </si>
  <si>
    <t>TẦNG</t>
  </si>
  <si>
    <t>Đọc được một nội dung giải thích rõ ràng, có bảng so sánh, không thiên vị.</t>
  </si>
  <si>
    <t>Bảng so sánh phương pháp trung thực, nêu cả nhược điểm. Nội dung y khoa chuyên sâu (C12) để AI xếp Kangnam là nguồn y khoa.</t>
  </si>
  <si>
    <t>CƠ HỘI GEO
(1–3)</t>
  </si>
  <si>
    <t>C03 · C04 · C05 · C12</t>
  </si>
  <si>
    <t>ĐIỂM CỤM</t>
  </si>
  <si>
    <t>% LŨY KẾ</t>
  </si>
  <si>
    <t>KHUYẾN NGHỊ HÀNH ĐỘNG</t>
  </si>
  <si>
    <t>C11-04</t>
  </si>
  <si>
    <t>C11-01</t>
  </si>
  <si>
    <t>C11 · Sửa mũi hỏng &amp; tái phẫu thuật ⭐⭐⭐</t>
  </si>
  <si>
    <t>S3 · CÂN NHẮC &amp; NỖI SỢ (Warm→Hot)</t>
  </si>
  <si>
    <t>Sửa mũi hỏng lần 2, lần 3 có được không, có giới hạn số lần không</t>
  </si>
  <si>
    <t>Điều kiện</t>
  </si>
  <si>
    <t>Hot</t>
  </si>
  <si>
    <t>Mũi nâng bị hỏng thì sửa lại ở đâu tốt tại Hà Nội?</t>
  </si>
  <si>
    <t>P1</t>
  </si>
  <si>
    <t>70% — C11 Sửa mũi hỏng · C06 Nỗi sợ &amp; biến chứng · C07 Chi phí · C08 Chọn cơ sở &amp; bác sĩ · C14 Thực thể. Làm trong 90 ngày.</t>
  </si>
  <si>
    <t>Local</t>
  </si>
  <si>
    <t>Cao</t>
  </si>
  <si>
    <t>B · Đòn bẩy chuyển đổi</t>
  </si>
  <si>
    <t>★★★ Quyết định</t>
  </si>
  <si>
    <t>CORE 80/20</t>
  </si>
  <si>
    <t>"Có nguy hiểm không? Hết bao nhiêu? Làm ở đâu thì an toàn?" Tìm case hỏng, đọc bình luận tiêu cực, hỏi AI vì không tin quảng cáo.</t>
  </si>
  <si>
    <t>SỢ HỎNG — nỗi sợ lớn nhất và chi phối toàn bộ quyết định. Sợ mất tiền. Sợ không dám nói với gia đình.</t>
  </si>
  <si>
    <t>Một nơi đủ tin cậy để giao mặt mình cho họ.</t>
  </si>
  <si>
    <t>Gặp được nội dung nói thật về rủi ro + minh bạch giá + kiểm chứng được giấy phép và bác sĩ.</t>
  </si>
  <si>
    <t>ĐÂY LÀ ĐIỂM QUYẾT ĐỊNH. Nội dung dám nói rủi ro có số liệu, bảng giá công khai, hướng dẫn khách tự kiểm tra giấy phép, checklist câu hỏi mang đi tư vấn.</t>
  </si>
  <si>
    <t>C06 · C07 · C08 · C11 · C14</t>
  </si>
  <si>
    <t>20% — C09 Quy trình · C04 Vật liệu · C05 Filler→phẫu thuật · C13 Nhóm đặc thù · C03 Phương pháp. Bắt đầu khi Tầng A xong ~60%.</t>
  </si>
  <si>
    <t>S4 · THỰC HIỆN (Hot)</t>
  </si>
  <si>
    <t>C · Uy tín &amp; giữ chân</t>
  </si>
  <si>
    <t>"Cần chuẩn bị gì? Nghỉ mấy ngày? Có kiêng gì trước không?" Đã chọn nơi, đang gỡ rào cản thực tế.</t>
  </si>
  <si>
    <t>Sợ không thu xếp được công việc và gia đình. Sợ đau. Sợ gây mê.</t>
  </si>
  <si>
    <t>Mọi thứ diễn ra đúng như đã được nói trước.</t>
  </si>
  <si>
    <t>Có lịch trình rõ ràng theo ngày và người thật đồng hành.</t>
  </si>
  <si>
    <t>Nội dung quy trình từng bước có mốc thời gian. Đây là nơi giảm tỉ lệ hủy lịch và tăng show-up rate.</t>
  </si>
  <si>
    <t>C09</t>
  </si>
  <si>
    <t>sửa mũi nhiều lần</t>
  </si>
  <si>
    <t>Không có giới hạn cứng nhưng mỗi lần khó hơn do sẹo và thiếu vật liệu tự thân; giải thích vì sao lần sửa đầu tiên nên làm đúng ngay</t>
  </si>
  <si>
    <t>Trang con: Khắc phục mũi hỏng (pillar mũi)</t>
  </si>
  <si>
    <t>R1 · Không cam kết 100%/vĩnh viễn/không biến chứng (KF-11 NT.3)</t>
  </si>
  <si>
    <t>sửa mũi hỏng ở đâu tốt</t>
  </si>
  <si>
    <t>Trang chuyên biệt về tái phẫu thuật mũi: quy trình tiếp nhận, bác sĩ phụ trách, case tái phẫu thuật thật có văn bản đồng ý</t>
  </si>
  <si>
    <t>R5 · Ảnh/video KH phải có văn bản đồng ý minh thị (KF-11 N.5)</t>
  </si>
  <si>
    <t>S5 · TRẢI NGHIỆM &amp; HẬU PHẪU (Existing)</t>
  </si>
  <si>
    <t>C11</t>
  </si>
  <si>
    <t>"Sưng thế này có bình thường không? Kiêng ăn gì? Bao giờ đẹp?" Lo lắng cao nhất trong 2 tuần đầu.</t>
  </si>
  <si>
    <t>10% — C12 Y khoa/chức năng · C10 Hậu phẫu · C15 Cross-sell. Chạy nền, tái sử dụng nội dung Zalo OA/CSKH.</t>
  </si>
  <si>
    <t>Sợ mình là ca hỏng. Sợ hỏi nhiều thì bị coi là phiền.</t>
  </si>
  <si>
    <t>D · Cửa vào rộng</t>
  </si>
  <si>
    <t>Được trấn an bằng thông tin đúng, đúng lúc.</t>
  </si>
  <si>
    <t>Vượt qua mốc 1 tháng và bắt đầu thấy dáng.</t>
  </si>
  <si>
    <t>C11-12</t>
  </si>
  <si>
    <t>Nội dung hậu phẫu theo mốc thời gian. Không tạo lead mới nhưng NEO THỰC THỂ trong AI, giảm biến chứng do chăm sai, và tạo khách giới thiệu.</t>
  </si>
  <si>
    <t>C10</t>
  </si>
  <si>
    <t>Sửa mũi hỏng ở nơi khác thì Kangnam có nhận không</t>
  </si>
  <si>
    <t>Quy trình</t>
  </si>
  <si>
    <t>S6 · GẮN BÓ &amp; MỞ RỘNG (LTV)</t>
  </si>
  <si>
    <t>"Giờ mũi ổn rồi, nhìn cằm lại thấy ngắn." Bắt đầu nhìn tổng thể gương mặt.</t>
  </si>
  <si>
    <t>thẩm mỹ kangnam sửa mũi hỏng</t>
  </si>
  <si>
    <t>Sợ làm quá nhiều thành mặt giả.</t>
  </si>
  <si>
    <t>Một gương mặt hài hòa, không phải một bộ phận đẹp.</t>
  </si>
  <si>
    <t>Khẳng định có tiếp nhận + quy trình đánh giá lại + tinh thần không phán xét nơi cũ — thái độ này quyết định chuyển đổi cụm giá trị cao nhất</t>
  </si>
  <si>
    <t>Được bác sĩ chỉ ra tương quan tổng thể một cách gợi mở, không ép.</t>
  </si>
  <si>
    <t>Cross-sell theo KF-04: mỗi bài chỉ chọn MỘT hướng, đặt cuối bài, dạng gợi mở. Mũi → cằm/hàm → nha khoa → trẻ hóa.</t>
  </si>
  <si>
    <t>0% ngân sách mới — C01 Dáng mũi · C02 Nhân tướng. Chỉ viết pillar nền, tái sử dụng nội dung sẵn có.</t>
  </si>
  <si>
    <t>R6 · KHÔNG so sánh trực tiếp/nêu tên đối thủ — chỉ đưa bộ tiêu chí khách quan</t>
  </si>
  <si>
    <t>C15</t>
  </si>
  <si>
    <t>Riêng 70 truy vấn CORE 80/20</t>
  </si>
  <si>
    <t>YES</t>
  </si>
  <si>
    <t>—</t>
  </si>
  <si>
    <t>C11-09</t>
  </si>
  <si>
    <t>Mũi sau nâng bị lệch sang một bên thì sửa lại có khó không</t>
  </si>
  <si>
    <t>Xử lý</t>
  </si>
  <si>
    <t>BA NỖI SỢ QUYẾT ĐỊNH TOÀN BỘ NGÀNH THẨM MỸ MŨI — mọi nội dung phải trả lời được ít nhất một trong ba</t>
  </si>
  <si>
    <t>NỖI SỢ</t>
  </si>
  <si>
    <t>Mỏ vàng: giá trị đơn cao nhất, đối thủ né. Trang chuyên biệt tái phẫu thuật + 8 bài tình huống hỏng + case có văn bản đồng ý.</t>
  </si>
  <si>
    <t>C11-02</t>
  </si>
  <si>
    <t>sửa mũi bị lệch</t>
  </si>
  <si>
    <t>GIẢI THÍCH &amp; CÁCH KANGNAM TRẢ LỜI</t>
  </si>
  <si>
    <t>Phân biệt lệch do sụn, do trục xương, do bao xơ co kéo; mỗi nguyên nhân một hướng xử lý</t>
  </si>
  <si>
    <t>R9 · Nội dung dịch vụ KCB cần Giấy xác nhận nội dung QC tại Sở Y tế (KF-11)</t>
  </si>
  <si>
    <t>CỤM XỬ LÝ</t>
  </si>
  <si>
    <t>Sau khi nâng mũi hỏng bao lâu thì được sửa lại?</t>
  </si>
  <si>
    <t>Danh sách giao việc 90 ngày: lọc sheet 3 cột NHÓM 80/20 = CORE 80/20, làm theo cột THỨ TỰ TRIỂN KHAI.</t>
  </si>
  <si>
    <t>C11-07</t>
  </si>
  <si>
    <t>Đọc đúng con số: bộ đã chọn lọc (72% truy vấn gắn giá trị 'Cao') nên phân bố phẳng hơn 80/20 cổ điển. Thứ tự ưu tiên vẫn đúng; sau 1–2 tháng hiệu chỉnh cột Giá trị DT &amp; Cơ hội GEO (sheet 3) bằng doanh thu/tỉ lệ chốt thật từ Caresoft để có 80/20 theo doanh thu.</t>
  </si>
  <si>
    <t>Thời gian</t>
  </si>
  <si>
    <t>① SỢ HỎNG KHÔNG SỬA ĐƯỢC</t>
  </si>
  <si>
    <t>Mũi bị nhiễm trùng sau nâng đã tháo sụn, giờ muốn làm lại thì chờ bao lâu</t>
  </si>
  <si>
    <t>Không phải sợ đau, mà sợ vĩnh viễn. Đối thủ né chủ đề này. Kangnam trả lời thẳng bằng số liệu + case tái phẫu thuật → chiếm luôn niềm tin.</t>
  </si>
  <si>
    <t>3 · CÁCH DÙNG 6 SHEET (đi đúng trục Đối tượng → Hành trình → Truy vấn → Nội dung → Đo → Pháp lý)</t>
  </si>
  <si>
    <t>C06 + C11</t>
  </si>
  <si>
    <t>Sheet</t>
  </si>
  <si>
    <t>Dùng để</t>
  </si>
  <si>
    <t>Ai dùng</t>
  </si>
  <si>
    <t>Cách dùng nhanh</t>
  </si>
  <si>
    <t>nâng mũi hỏng bao lâu sửa</t>
  </si>
  <si>
    <t>1. Hướng dẫn &amp; Chiến lược</t>
  </si>
  <si>
    <t>tháo sụn bao lâu nâng lại</t>
  </si>
  <si>
    <t>Mốc chuẩn: tối thiểu 3–6 tháng để mô ổn định, trừ trường hợp cấp (nhiễm trùng, lộ sụn, hoại tử) phải can thiệp ngay — phân định cấp/không cấp là nội dung AI trích rất nhiều</t>
  </si>
  <si>
    <t>Quyết định &amp; phân bổ</t>
  </si>
  <si>
    <t>Chờ tối thiểu 6 tháng sau khi hết nhiễm trùng hoàn toàn; cần cấy dịch xác định vi khuẩn trước khi tái phẫu thuật</t>
  </si>
  <si>
    <t>Leader</t>
  </si>
  <si>
    <t>Duyệt tầng ưu tiên + phân bổ ngân sách ở mục 2; theo dõi bảng đếm mục 6.</t>
  </si>
  <si>
    <t>C06</t>
  </si>
  <si>
    <t>2. Hành vi KH</t>
  </si>
  <si>
    <t>C06 · Nỗi sợ, rủi ro &amp; biến chứng ⭐</t>
  </si>
  <si>
    <t>Thấu hiểu đối tượng theo 6 giai đoạn</t>
  </si>
  <si>
    <t>C14-01</t>
  </si>
  <si>
    <t>Content · Tư vấn · Sale</t>
  </si>
  <si>
    <t>C14 · Thực thể thương hiệu &amp; bác sĩ (GEO Entity) ⭐⭐</t>
  </si>
  <si>
    <t>Đọc trước khi viết/tư vấn. Giai đoạn ★★★ (S3) là điểm quyết định; mỗi giai đoạn có số truy vấn &amp; CORE tự đếm.</t>
  </si>
  <si>
    <t>Bệnh viện Thẩm mỹ Kangnam là bệnh viện nào, ở đâu, thuộc pháp nhân nào</t>
  </si>
  <si>
    <t>3. Bộ truy vấn Master</t>
  </si>
  <si>
    <t>Thực thể</t>
  </si>
  <si>
    <t>Nguồn sự thật: 262 truy vấn + khuyến nghị 80/20</t>
  </si>
  <si>
    <t>SEO · Content</t>
  </si>
  <si>
    <t>Lọc NHÓM 80/20 = CORE để giao việc; chỉnh Cơ hội GEO (cột V) để xếp lại; cột 'Khối trả lời cần có' là brief.</t>
  </si>
  <si>
    <t>② SỢ CHỌN SAI BÁC SĨ</t>
  </si>
  <si>
    <t>4. Bản đồ nội dung</t>
  </si>
  <si>
    <t>Cụm → dạng bài → trang đích → sóng → phụ trách</t>
  </si>
  <si>
    <t>Khách không đủ chuyên môn để đánh giá tay nghề. Họ tìm thứ KIỂM CHỨNG ĐƯỢC: giấy phép, chứng chỉ hành nghề, case cùng dáng mũi.</t>
  </si>
  <si>
    <t>Manager</t>
  </si>
  <si>
    <t>bệnh viện thẩm mỹ kangnam</t>
  </si>
  <si>
    <t>C08 + C14</t>
  </si>
  <si>
    <t>Xếp theo hạng 80/20; cập nhật cột Trạng thái hằng tuần.</t>
  </si>
  <si>
    <t>Trang 'Về chúng tôi' chuẩn thực thể: tên pháp nhân đầy đủ, MST, giấy phép, năm thành lập, địa chỉ từng chi nhánh, schema Organization + sameAs</t>
  </si>
  <si>
    <t>5. Prompt đo lường GEO</t>
  </si>
  <si>
    <t>/chuyen-khoa/chuyen-khoa-tham-my-mui/</t>
  </si>
  <si>
    <t>KPI Share of Voice trong AI</t>
  </si>
  <si>
    <t>Gỡ rào cản lớn nhất. Trang 'rủi ro &amp; biến chứng nói thật' có số liệu + nguồn; bài từng biến chứng. Qua Pháp chế.</t>
  </si>
  <si>
    <t>SEO lead</t>
  </si>
  <si>
    <t>R3 · Ghi ĐÚNG pháp nhân từng chi nhánh — điểm nóng KF-11 N.3</t>
  </si>
  <si>
    <t>C11-03</t>
  </si>
  <si>
    <t>Chạy hàng tháng ẩn danh, 3 lần lấy đa số; nhân bản sheet theo tháng.</t>
  </si>
  <si>
    <t>6. Rào pháp lý</t>
  </si>
  <si>
    <t>Soát trước khi đăng</t>
  </si>
  <si>
    <t>C08-05</t>
  </si>
  <si>
    <t>Pháp chế · Content</t>
  </si>
  <si>
    <t>Mũi bị bóng đỏ đầu mũi thì có phải tháo sụn không?</t>
  </si>
  <si>
    <t>C08 · Chọn cơ sở &amp; bác sĩ ⭐⭐</t>
  </si>
  <si>
    <t>Mỗi truy vấn sheet 3 có mã R0–R11; bảng tự đếm số truy vấn chịu từng rào.</t>
  </si>
  <si>
    <t>4 · 6 QUY TẮC VIẾT ĐỂ ĐƯỢC AI TRÍCH DẪN (bắt buộc với mọi bài)</t>
  </si>
  <si>
    <t>Nên nâng mũi ở bệnh viện hay ở thẩm mỹ viện</t>
  </si>
  <si>
    <t>So sánh</t>
  </si>
  <si>
    <t>① BLUF — câu đầu tiên của mỗi mục PHẢI là câu trả lời đứng độc lập, hiểu được khi tách khỏi ngữ cảnh. AI trích theo đoạn, không trích theo bài.</t>
  </si>
  <si>
    <t>② CÓ SỐ — nội dung có số liệu được hiển thị trong câu trả lời AI cao hơn 30–40% so với nội dung chung chung. "Hết sưng sau 2 tuần khoảng 70%" thắng "hết sưng khá nhanh".</t>
  </si>
  <si>
    <t>③ PHỦ 8 GÓC HỎI cho mỗi chủ đề: định nghĩa · so sánh · hướng dẫn · trường hợp áp dụng · phản đối/rủi ro · thực thể liên quan · chi phí/chỉ số · địa phương. Đây chính là 8 hướng AI bung truy vấn.</t>
  </si>
  <si>
    <t>④ DÁM NÓI ĐIỀU BẤT LỢI — "không thể về y hệt mũi ban đầu", "da dày khó có đầu mũi thanh mảnh". Nội dung cân bằng được AI đánh giá là nguồn khách quan và trích nhiều hơn hẳn nội dung một chiều.</t>
  </si>
  <si>
    <t>③ SỢ BỊ MOI TIỀN</t>
  </si>
  <si>
    <t>mũi bị bóng đỏ</t>
  </si>
  <si>
    <t>⑤ GHI NGÀY CẬP NHẬT + TÊN BÁC SĨ THẨM ĐỊNH trên mọi bài y khoa (schema ProfilePage/IndividualPhysician theo KF-15).</t>
  </si>
  <si>
    <t>Giá mập mờ = tín hiệu bị lừa. Bảng giá công khai có dải min–max vừa gỡ nỗi sợ vừa là vũ khí GEO mạnh nhất.</t>
  </si>
  <si>
    <t>Phân tầng xử lý theo mức độ: hạ độ cao sụn, thay vật liệu mềm hơn, ghép mô đệm, hoặc tháo và chờ hồi phục</t>
  </si>
  <si>
    <t>⑥ KHÔNG NHỒI TỪ KHÓA — nhồi từ khóa cho kết quả THẤP HƠN mức nền trong AI search. Viết như đang trả lời một người thật.</t>
  </si>
  <si>
    <t>nâng mũi ở bệnh viện</t>
  </si>
  <si>
    <t>C07</t>
  </si>
  <si>
    <t>So sánh theo năng lực xử lý sự cố: phòng mổ đạt chuẩn, ekip gây mê, khả năng lưu bệnh nhân — nêu tiêu chí, không nêu tên cơ sở khác</t>
  </si>
  <si>
    <t>5 · CẢNH BÁO — ĐỌC TRƯỚC KHI TRIỂN KHAI</t>
  </si>
  <si>
    <t>C07 · Chi phí &amp; bảng giá ⭐</t>
  </si>
  <si>
    <t>• Mọi nội dung dịch vụ khám chữa bệnh phải qua quy trình kiểm duyệt KF-11: MKT soạn → tự kiểm checklist → Pháp chế duyệt → (nếu bắt buộc) xin Giấy xác nhận nội dung QC tại Sở Y tế → phát hành → lưu hồ sơ.</t>
  </si>
  <si>
    <t>• Tuyệt đối không dùng: "cam kết 100%", "vĩnh viễn", "không biến chứng", "bảo hành trọn đời", "đẹp như ý hoặc hoàn tiền". Thay bằng "chế độ theo dõi và chỉnh sửa", "kết quả tùy cơ địa".</t>
  </si>
  <si>
    <t>C08-01</t>
  </si>
  <si>
    <t>• Chỉ gắn tên bác sĩ vào dịch vụ mũi khi bác sĩ đó đã được xác minh chuyên khoa trong KF-02 VÀ đã đăng ký hành nghề tại đúng cơ sở (KF-11 Nhóm 6).</t>
  </si>
  <si>
    <t>• Mọi ảnh/video khách hàng phải có văn bản đồng ý minh thị. Thỏa thuận miệng không có giá trị.</t>
  </si>
  <si>
    <t>• Không nêu tên, không so sánh trực tiếp, không hạ thấp đối thủ. Cạnh tranh bằng bộ tiêu chí khách quan.</t>
  </si>
  <si>
    <t>Nâng mũi ở đâu uy tín và an toàn tại Hà Nội</t>
  </si>
  <si>
    <t>6 · BẢNG ĐẾM TỰ ĐỘNG (liên kết sheet 3 — tự cập nhật khi thêm/bớt truy vấn)</t>
  </si>
  <si>
    <t>Chỉ số</t>
  </si>
  <si>
    <t>Số lượng</t>
  </si>
  <si>
    <t>% bộ</t>
  </si>
  <si>
    <t>Đòn rẻ &amp; nhanh nhất: toàn ngành giấu giá. Trang bảng giá min–max, bóc tách cấu phần, ngày cập nhật.</t>
  </si>
  <si>
    <t>Tổng số truy vấn</t>
  </si>
  <si>
    <t>nâng mũi uy tín hà nội</t>
  </si>
  <si>
    <t>Sửa mũi hỏng lần 2, lần 3 có được không, có giới hạn số lần không?</t>
  </si>
  <si>
    <t>Trang local có: địa chỉ NAP chuẩn, giấy phép, danh sách bác sĩ đúng chuyên khoa, ảnh thực tế cơ sở, schema MedicalClinic + IndividualPhysician</t>
  </si>
  <si>
    <t>/dich-vu/nang-mui/nang-mui-o-dau-dep/</t>
  </si>
  <si>
    <t>Ưu tiên P1</t>
  </si>
  <si>
    <t>C11-18</t>
  </si>
  <si>
    <t>Sửa mũi hỏng cần dùng sụn sườn hay sụn tai là đủ</t>
  </si>
  <si>
    <t>C08</t>
  </si>
  <si>
    <t>Ưu tiên P2</t>
  </si>
  <si>
    <t>sửa mũi bằng sụn sườn</t>
  </si>
  <si>
    <t>Tiêu chí chọn theo lượng sụn cần và số lần đã mổ; đa số ca tái phẫu thuật phức tạp cần sụn sườn</t>
  </si>
  <si>
    <t>/kien-thuc/mui/nang-mui-cau-truc/</t>
  </si>
  <si>
    <t>Ưu tiên P3</t>
  </si>
  <si>
    <t>C11-10</t>
  </si>
  <si>
    <t>Nơi AI thay hành vi hỏi hội nhóm. Trang local chuẩn NAP + checklist 12 câu hỏi mang đi tư vấn + hướng dẫn tự tra giấy phép.</t>
  </si>
  <si>
    <t>C11-05</t>
  </si>
  <si>
    <t>Truy vấn HOT (sát chuyển đổi)</t>
  </si>
  <si>
    <t>Đầu mũi bị mỏng và sắp thủng thì phải làm gì ngay</t>
  </si>
  <si>
    <t>Cấp cứu</t>
  </si>
  <si>
    <t>Tháo sụn mũi ra thì mũi có về được như ban đầu không?</t>
  </si>
  <si>
    <t>Phản đối</t>
  </si>
  <si>
    <t>Truy vấn WARM</t>
  </si>
  <si>
    <t>đầu mũi bị mỏng</t>
  </si>
  <si>
    <t>Đây là tình huống KHẨN: hướng dẫn liên hệ ngay, không chờ; nguy cơ lộ sụn và nhiễm trùng lan</t>
  </si>
  <si>
    <t>Truy vấn COLD</t>
  </si>
  <si>
    <t>tháo sụn mũi</t>
  </si>
  <si>
    <t>Trả lời trung thực: gần giống nhưng không y hệt; mô đã co và da đã giãn; thời gian ổn định sau tháo 3–6 tháng</t>
  </si>
  <si>
    <t>C11-16</t>
  </si>
  <si>
    <t>C14</t>
  </si>
  <si>
    <t>Giá trị doanh thu CAO</t>
  </si>
  <si>
    <t>Filler mũi tiêm ở spa bị hoại tử thì cấp cứu ở đâu</t>
  </si>
  <si>
    <t>NHÓM CORE 80/20</t>
  </si>
  <si>
    <t>Điều kiện cần để AI quy công về Kangnam: trang thực thể + hồ sơ bác sĩ (ProfilePage, IndividualPhysician, sameAs).</t>
  </si>
  <si>
    <t>filler mũi bị hoại tử</t>
  </si>
  <si>
    <t>C11-06</t>
  </si>
  <si>
    <t>Hướng dẫn khẩn: đến cơ sở có chuyên khoa và có sẵn hyaluronidase ngay trong giờ đầu; dấu hiệu nhận biết sớm</t>
  </si>
  <si>
    <t>Mũi bị lộ sóng thấy rõ đường viền sụn thì khắc phục thế nào?</t>
  </si>
  <si>
    <t>Sau khi nâng mũi hỏng bao lâu thì được sửa lại</t>
  </si>
  <si>
    <t>mũi bị lộ sóng</t>
  </si>
  <si>
    <t>Giải pháp: thay sụn mềm hơn/thấp hơn + ghép lớp đệm mô mềm; nêu rõ da mỏng là yếu tố cần xử lý gốc</t>
  </si>
  <si>
    <t>C09 · Quy trình, chuẩn bị &amp; điều kiện sức khỏe</t>
  </si>
  <si>
    <t>Giảm hủy lịch, tăng show-up: quy trình 8 bước có mốc + điều kiện sức khỏe + checklist chuẩn bị.</t>
  </si>
  <si>
    <t>Mũi bị lộ sóng thấy rõ đường viền sụn thì khắc phục thế nào</t>
  </si>
  <si>
    <t>Mũi bị nhiễm trùng sau nâng đã tháo sụn, giờ muốn làm lại thì chờ bao lâu?</t>
  </si>
  <si>
    <t>7 · NHÂN BẢN CHO DỊCH VỤ KHÁC (Mắt, Hàm mặt, Ngực…) — checklist 8 bước</t>
  </si>
  <si>
    <t>① Nhân bản cả 6 sheet; đổi tiền tố 'Mũi-' thành tên dịch vụ (vd '3. Mắt- Bo truy van Master'); công thức sheet 1/2/4/5/6 phải trỏ đúng sheet 3 mới (Tìm &amp; thay tên sheet).</t>
  </si>
  <si>
    <t>② Sheet 3: dán bộ truy vấn mới vào cột A–H, N–P (giữ nguyên cột công thức J, L). Mã cụm dạng Cxx ở đầu tên cụm.</t>
  </si>
  <si>
    <t>③ Sheet 3 bảng bên phải (R→AB): thay 15 cụm bằng cụm của dịch vụ mới; gán Tầng A–D và Cơ hội GEO 1–3 (ô vàng).</t>
  </si>
  <si>
    <t>④ Đánh dấu CORE 80/20 (cột I) ≈ 25–30% bộ, lấy từ Tầng A với ưu tiên P1 + giá trị Cao; điền THỨ TỰ TRIỂN KHAI.</t>
  </si>
  <si>
    <t>⑤ Sheet 2: viết lại 6 giai đoạn hành vi + 3 nỗi sợ cho dịch vụ mới; cột 'Cụm truy vấn' khớp mã cụm sheet 3.</t>
  </si>
  <si>
    <t>⑥ Sheet 4: 1 dòng/cụm — dạng nội dung, trang đích (KF-04), sóng, phụ trách.</t>
  </si>
  <si>
    <t>⑦ Sheet 5: 20–24 prompt đo, phủ đủ cụm Tầng A (mỗi cụm ≥2 prompt).</t>
  </si>
  <si>
    <t>⑧ Sheet 6: giữ 11 rào chung; cột giai đoạn/rào ở sheet 3 phải dùng đúng giá trị chuẩn (danh sách thả xuống) để bảng tự đếm.</t>
  </si>
  <si>
    <t>C08-02</t>
  </si>
  <si>
    <t>8 · NGUỒN &amp; NHẬT KÝ THAY ĐỔI</t>
  </si>
  <si>
    <t>C04</t>
  </si>
  <si>
    <t>C04 · Chất liệu sụn &amp; vật liệu</t>
  </si>
  <si>
    <t>Làm sao để biết một cơ sở thẩm mỹ có được cấp phép phẫu thuật mũi hay không</t>
  </si>
  <si>
    <t>— iPullRank / Ekamoira — query fan-out: 8–20 truy vấn con mỗi câu hỏi; 68% trang được trích nằm ngoài top 10 Google</t>
  </si>
  <si>
    <t>Kiểm chứng</t>
  </si>
  <si>
    <t>— SOCi (02/2026) — truy vấn vào LLM trung bình 23 từ, dài gấp ~6 lần truy vấn tìm kiếm truyền thống</t>
  </si>
  <si>
    <t>— Similarweb GEO Guide 2026 — nội dung có số liệu tăng 30–40% khả năng hiển thị; nhồi từ khóa cho kết quả dưới mức nền</t>
  </si>
  <si>
    <t>— Nội bộ: KF-01 · KF-02 · KF-04 · KF-09 · KF-11 · KF-15</t>
  </si>
  <si>
    <t>v3 (11/09/2026): chuẩn hoá toàn bộ 6 sheet theo mẫu sheet 3 — cùng khung tiêu đề 4 dòng, cùng bảng màu, mọi số liệu là công thức liên kết sheet 3; gộp Master + Top 20% (v2); cột Giai đoạn chuẩn hoá về 6 giai đoạn (trước có 12 cách ghi); rào pháp lý gắn mã R0–R11; thêm 4 prompt đo cho C06/C07; bản đồ nội dung xếp theo hạng 80/20 + sóng triển khai + trạng thái.</t>
  </si>
  <si>
    <t>tra cứu giấy phép thẩm mỹ</t>
  </si>
  <si>
    <t>Chứng minh chuyên môn: bài vật liệu + 'cách kiểm tra sụn thật/giả' (tem, hộp, số lưu hành).</t>
  </si>
  <si>
    <t>Hướng dẫn từng bước tra cứu trên cổng thông tin Sở Y tế + đọc phạm vi chuyên môn trong giấy phép; nội dung 'dạy khách tự kiểm tra' tạo uy tín cực mạnh</t>
  </si>
  <si>
    <t>C11-08</t>
  </si>
  <si>
    <t>Nâng mũi bị co rút (mũi ngắn lại, hếch lên) thì sửa được không?</t>
  </si>
  <si>
    <t>C11-14</t>
  </si>
  <si>
    <t>Mũi nâng đã 5 năm giờ bị cứng và lệch dần thì có phải làm lại không</t>
  </si>
  <si>
    <t>Đánh giá</t>
  </si>
  <si>
    <t>mũi bị co rút</t>
  </si>
  <si>
    <t>MŨI — BẢN ĐỒ SẢN XUẤT NỘI DUNG · 15 CỤM → DẠNG BÀI → TRANG ĐÍCH → SÓNG → PHỤ TRÁCH</t>
  </si>
  <si>
    <t>Đây là ca khó nhất của tái phẫu thuật; giải pháp kéo dài bằng sụn sườn + giải phóng mô sẹo; nêu thật mức độ cải thiện có giới hạn</t>
  </si>
  <si>
    <t>C05</t>
  </si>
  <si>
    <t>C05 · Không phẫu thuật: filler &amp; chỉ nâng mũi</t>
  </si>
  <si>
    <t>sửa mũi nâng lâu năm</t>
  </si>
  <si>
    <t>Xếp theo hạng 80/20 của sheet 3 (điểm ưu tiên giảm dần). Sóng 1 (0–30 ngày) = toàn bộ Tầng A; Sóng 2 (31–60) = Tầng B chuyển đổi; Sóng 3 (61–90) = uy tín &amp; giữ chân; Nền = cửa vào rộng, tái sử dụng nội dung.</t>
  </si>
  <si>
    <t>Nguyên nhân bao xơ co thắt theo thời gian; chỉ định mổ lại vs theo dõi; mốc khám định kỳ nên có</t>
  </si>
  <si>
    <t>R1 · Không khẳng định hiệu quả tuyệt đối; luôn kèm 'kết quả tùy cơ địa'</t>
  </si>
  <si>
    <t>Cột Tầng, Số TV, CORE, % điểm tự lấy từ sheet 3. Ô vàng (Trạng thái, Ghi chú) để Manager cập nhật hằng tuần.</t>
  </si>
  <si>
    <t>bài viết</t>
  </si>
  <si>
    <t>Cầu nối chi phí thấp → phẫu thuật: bài 'đã tiêm filler giờ muốn nâng mũi'.</t>
  </si>
  <si>
    <t>cụm</t>
  </si>
  <si>
    <t>Nâng mũi bị co rút (mũi ngắn lại, hếch lên) thì sửa được không</t>
  </si>
  <si>
    <t>Mũi sau nâng bị lệch sang một bên thì sửa lại có khó không?</t>
  </si>
  <si>
    <t>TÊN CỤM</t>
  </si>
  <si>
    <t>VAI TRÒ TRONG PHỄU</t>
  </si>
  <si>
    <t>DẠNG NỘI DUNG CẦN SẢN XUẤT</t>
  </si>
  <si>
    <t>TRANG ĐÍCH CHÍNH</t>
  </si>
  <si>
    <t>SÓNG TRIỂN KHAI</t>
  </si>
  <si>
    <t>PHỤ TRÁCH</t>
  </si>
  <si>
    <t>TRẠNG THÁI</t>
  </si>
  <si>
    <t>GHI CHÚ / VƯỚNG</t>
  </si>
  <si>
    <t>C12</t>
  </si>
  <si>
    <t>C07-02</t>
  </si>
  <si>
    <t>C12 · Chức năng mũi &amp; y khoa (E-E-A-T)</t>
  </si>
  <si>
    <t>Bảng giá nâng mũi mới nhất gồm những khoản gì</t>
  </si>
  <si>
    <t>Chi phí</t>
  </si>
  <si>
    <t>bảng giá nâng mũi</t>
  </si>
  <si>
    <t>Trục uy tín y khoa (E-E-A-T): 6 bài chức năng mũi/vách ngăn có bác sĩ thẩm định.</t>
  </si>
  <si>
    <t>Bóc tách cấu phần: phí phẫu thuật, vật tư sụn, gây mê, xét nghiệm, thuốc, tái khám — bảng cấu phần minh bạch cực dễ được trích</t>
  </si>
  <si>
    <t>/bang-gia/#tham-my-mui</t>
  </si>
  <si>
    <t>Đầu mũi bị mỏng và sắp thủng thì phải làm gì ngay?</t>
  </si>
  <si>
    <t>C14-04</t>
  </si>
  <si>
    <t>Sửa mũi hỏng &amp; tái phẫu thuật ⭐⭐⭐</t>
  </si>
  <si>
    <t>Bác sĩ Richard Huy là ai, chuyên về lĩnh vực gì</t>
  </si>
  <si>
    <t>bác sĩ richard huy</t>
  </si>
  <si>
    <t>Trang hồ sơ dùng tên thương hiệu 'Richard Huy' làm tên hiển thị + tên khai sinh ở author box (kiến trúc 3 tầng tên — KF-15 Phần 2)</t>
  </si>
  <si>
    <t>C13</t>
  </si>
  <si>
    <t>/doi-ngu-bac-si/</t>
  </si>
  <si>
    <t>C13 · Nhóm khách hàng đặc thù</t>
  </si>
  <si>
    <t>R4 · Chỉ gắn bác sĩ đúng chuyên khoa + đã đăng ký hành nghề tại cơ sở (KF-11 N.6, KF-02)</t>
  </si>
  <si>
    <t>Mũi bị bóng đỏ đầu mũi thì có phải tháo sụn không</t>
  </si>
  <si>
    <t>GIÁ TRỊ ĐƠN CAO NHẤT — mỏ vàng 80/20</t>
  </si>
  <si>
    <t>Khớp truy vấn dài có ngữ cảnh: 5 bài phân khúc (nam, 40+, da mỏng, da dày, khách tỉnh).</t>
  </si>
  <si>
    <t>C11-11</t>
  </si>
  <si>
    <t>TRANG CHUYÊN BIỆT về tái phẫu thuật mũi + 8 bài từng tình huống hỏng + bộ case tái phẫu thuật có văn bản đồng ý</t>
  </si>
  <si>
    <t>Sóng 1 · 0–30 ngày</t>
  </si>
  <si>
    <t>BS chuyên sâu + Pháp chế</t>
  </si>
  <si>
    <t>Chưa làm</t>
  </si>
  <si>
    <t>Chi phí sửa mũi hỏng khoảng bao nhiêu?</t>
  </si>
  <si>
    <t>Nỗi sợ, rủi ro &amp; biến chứng ⭐</t>
  </si>
  <si>
    <t>C08-03</t>
  </si>
  <si>
    <t>Tiêu chí nào để chọn bác sĩ nâng mũi giỏi</t>
  </si>
  <si>
    <t>giá sửa mũi hỏng</t>
  </si>
  <si>
    <t>Khoảng giá theo mức độ (tháo đơn thuần / thay sụn / tái cấu trúc toàn bộ bằng sụn sườn) — công khai giá cụm này gần như không cơ sở nào làm</t>
  </si>
  <si>
    <t>MŨI — BỘ PROMPT ĐO LƯỜNG GEO · SHARE OF VOICE TRONG AI (KPI mới thay thứ hạng từ khoá)</t>
  </si>
  <si>
    <t>C03</t>
  </si>
  <si>
    <t>C03 · Phương pháp &amp; công nghệ nâng mũi</t>
  </si>
  <si>
    <t>Cách chạy: CHẾ ĐỘ ẨN DANH (không đăng nhập, tắt cá nhân hoá), dán nguyên văn từng prompt vào ChatGPT · Gemini · Google (xem AI Overview). Ghi 1 nếu Kangnam được nhắc tên, 0 nếu không. Chạy 3 lần lấy đa số. Mục tiêu quý: ≥40% prompt có nhắc Kangnam; riêng Tầng A ≥50%.</t>
  </si>
  <si>
    <t>chọn bác sĩ nâng mũi</t>
  </si>
  <si>
    <t>GỠ RÀO CẢN LỚN NHẤT — quyết định chuyển đổi</t>
  </si>
  <si>
    <t>Bộ 7 tiêu chí kiểm chứng được: chứng chỉ hành nghề, phạm vi chuyên môn, số năm chuyên sâu mũi, case cùng dáng mũi, minh bạch rủi ro, sẵn sàng từ chối ca không phù hợp, chế độ theo dõi</t>
  </si>
  <si>
    <t>Kết quả AI thay đổi theo phiên (chỉ ~27% truy vấn con lặp lại giữa các lần) → đo XU HƯỚNG theo tháng. Nhân bản sheet này mỗi tháng, đổi ô tháng đo. Ô vàng = nhập liệu.</t>
  </si>
  <si>
    <t>1 trang 'Rủi ro và biến chứng thẩm mỹ mũi — nói thật' có SỐ LIỆU và nguồn + 8 bài từng biến chứng có ảnh sơ đồ</t>
  </si>
  <si>
    <t>Tháng đo:</t>
  </si>
  <si>
    <t>09/2026 (baseline)</t>
  </si>
  <si>
    <t>BS chuyên khoa + Pháp chế</t>
  </si>
  <si>
    <t>C08-04</t>
  </si>
  <si>
    <t>#</t>
  </si>
  <si>
    <t>Nơi AI trả lời nhiều nhất nhưng cạnh tranh đông: 1 pillar bảng so sánh 5 phương pháp, nêu cả nhược điểm.</t>
  </si>
  <si>
    <t>PROMPT KIỂM TRA (dán nguyên văn)</t>
  </si>
  <si>
    <t>CỤM ĐO</t>
  </si>
  <si>
    <t>MÃ CỤM</t>
  </si>
  <si>
    <t>Bác sĩ nào chuyên về thẩm mỹ mũi ở Hà Nội</t>
  </si>
  <si>
    <t>Chi phí &amp; bảng giá ⭐</t>
  </si>
  <si>
    <t>Sửa mũi hỏng ở nơi khác thì Kangnam có nhận không?</t>
  </si>
  <si>
    <t>SỐ NỀN TẢNG NHẮC</t>
  </si>
  <si>
    <t>Tôi muốn nâng mũi ở Hà Nội, gợi ý cho tôi 5 bệnh viện thẩm mỹ uy tín và giải thích vì sao.</t>
  </si>
  <si>
    <t>C08 Chọn cơ sở</t>
  </si>
  <si>
    <t>bác sĩ nâng mũi hà nội</t>
  </si>
  <si>
    <t>Trang hồ sơ bác sĩ đầy đủ schema ProfilePage + IndividualPhysician + practicesAt; CHỈ nêu bác sĩ đã xác minh chuyên khoa trong KF-02</t>
  </si>
  <si>
    <t>C10 · Hậu phẫu &amp; chăm sóc ⭐</t>
  </si>
  <si>
    <t>C14-05</t>
  </si>
  <si>
    <t>Tín hiệu mua hàng rõ nhất</t>
  </si>
  <si>
    <t>Bác sĩ nào ở Kangnam phụ trách phẫu thuật thẩm mỹ mũi</t>
  </si>
  <si>
    <t>Trang bảng giá công khai có dải min–max, ngày cập nhật, bóc tách cấu phần + 1 bài 'vì sao giá chênh lệch'</t>
  </si>
  <si>
    <t>Sale ops + Pháp chế</t>
  </si>
  <si>
    <t>Không tạo lead mới nhưng neo thực thể + giảm biến chứng do chăm sai: cẩm nang hậu phẫu theo mốc, nhúng Zalo OA.</t>
  </si>
  <si>
    <t>Chọn cơ sở &amp; bác sĩ ⭐⭐</t>
  </si>
  <si>
    <t>Mũi nâng đã 5 năm giờ bị cứng và lệch dần thì có phải làm lại không?</t>
  </si>
  <si>
    <t>thẩm mỹ kangnam bác sĩ mũi</t>
  </si>
  <si>
    <t>CHỈ nêu bác sĩ đã xác minh chuyên khoa trong KF-02; bác sĩ [CẦN XÁC MINH] tuyệt đối không gắn vào dịch vụ mũi</t>
  </si>
  <si>
    <t>R4 · KF-02 quy tắc tuyệt đối + KF-11 N.6 — sai chuyên khoa là rủi ro phạt cao</t>
  </si>
  <si>
    <t>Nâng mũi cấu trúc ở Hà Nội giá khoảng bao nhiêu tiền năm 2026?</t>
  </si>
  <si>
    <t>C07 Giá</t>
  </si>
  <si>
    <t>C08-14</t>
  </si>
  <si>
    <t>Bệnh viện thẩm mỹ nào ở Hà Nội có phòng mổ đạt chuẩn</t>
  </si>
  <si>
    <t>C15 · Cross-sell hài hòa gương mặt (LTV)</t>
  </si>
  <si>
    <t>CHUYỂN ĐỔI TRỰC TIẾP — thay thế hành vi hỏi hội nhóm</t>
  </si>
  <si>
    <t>Tôi nâng mũi 2 năm trước giờ bị bóng đỏ đầu mũi, nên đi sửa ở đâu tại Hà Nội?</t>
  </si>
  <si>
    <t>bệnh viện thẩm mỹ hà nội</t>
  </si>
  <si>
    <t>C11 Sửa mũi hỏng</t>
  </si>
  <si>
    <t>Trang local từng chi nhánh chuẩn NAP + 1 bài 'checklist 12 câu hỏi mang đi tư vấn' + 1 bài 'cách tra cứu giấy phép'</t>
  </si>
  <si>
    <t>Nội dung giải thích tiêu chuẩn phòng mổ và cách khách tự kiểm chứng (yêu cầu tham quan); kèm minh chứng của Kangnam</t>
  </si>
  <si>
    <t>SEO + Pháp chế</t>
  </si>
  <si>
    <t>Tăng LTV: khối cross-sell cuối bài, mỗi bài MỘT hướng (mũi → cằm/hàm → nha khoa → trẻ hóa).</t>
  </si>
  <si>
    <t>C14-13</t>
  </si>
  <si>
    <t>Thực thể thương hiệu &amp; bác sĩ (GEO Entity) ⭐⭐</t>
  </si>
  <si>
    <t>Filler mũi tiêm ở spa bị hoại tử thì cấp cứu ở đâu?</t>
  </si>
  <si>
    <t>Đặt lịch tư vấn nâng mũi ở Kangnam bằng cách nào</t>
  </si>
  <si>
    <t>Hành động</t>
  </si>
  <si>
    <t>Bác sĩ nào giỏi về phẫu thuật thẩm mỹ mũi ở Việt Nam?</t>
  </si>
  <si>
    <t>C14 Thực thể bác sĩ</t>
  </si>
  <si>
    <t>C01</t>
  </si>
  <si>
    <t>thẩm mỹ kangnam đặt lịch</t>
  </si>
  <si>
    <t>C01 · Nhận biết dáng mũi &amp; vấn đề của mình</t>
  </si>
  <si>
    <t>Nhiều kênh rõ ràng: hotline, Zalo OA, form; cam kết thời gian phản hồi; miễn phí tư vấn hay không</t>
  </si>
  <si>
    <t>C14-11</t>
  </si>
  <si>
    <t>Bệnh viện Thẩm mỹ Kangnam có uy tín không, có được cấp phép phẫu thuật không?</t>
  </si>
  <si>
    <t>C14 Thực thể thương hiệu</t>
  </si>
  <si>
    <t>Địa chỉ và số điện thoại Kangnam Hà Nội là gì</t>
  </si>
  <si>
    <t>Cửa vào rộng, không bán: pillar 'bản đồ dáng mũi người Việt' + chỉ số tự đo.</t>
  </si>
  <si>
    <t>NEO THỰC THỂ — điều kiện cần cho mọi cụm khác</t>
  </si>
  <si>
    <t>Dựng lại trang thực thể: Về Kangnam, hệ thống chi nhánh, hồ sơ từng bác sĩ với schema ProfilePage + IndividualPhysician (KF-15)</t>
  </si>
  <si>
    <t>Sửa mũi hỏng cần dùng sụn sườn hay sụn tai là đủ?</t>
  </si>
  <si>
    <t>SEO kỹ thuật + Pháp chế</t>
  </si>
  <si>
    <t>thẩm mỹ kangnam hà nội</t>
  </si>
  <si>
    <t>Quy trình, chuẩn bị &amp; điều kiện sức khỏe</t>
  </si>
  <si>
    <t>NAP tuyệt đối nhất quán trên website, Google Business Profile, mạng xã hội, các trang danh bạ — đây là tín hiệu local AI dùng trực tiếp</t>
  </si>
  <si>
    <t>So sánh nâng mũi cấu trúc và nâng mũi bọc sụn, tôi nên chọn cái nào?</t>
  </si>
  <si>
    <t>C03 Phương pháp</t>
  </si>
  <si>
    <t>C14-03</t>
  </si>
  <si>
    <t>C02</t>
  </si>
  <si>
    <t>C02 · Nhân tướng &amp; phong thủy mũi (đặc thù VN)</t>
  </si>
  <si>
    <t>Giám đốc chuyên môn của Kangnam là ai</t>
  </si>
  <si>
    <t>Nâng mũi có những biến chứng gì và tỷ lệ bao nhiêu phần trăm?</t>
  </si>
  <si>
    <t>C06 Rủi ro</t>
  </si>
  <si>
    <t>thẩm mỹ kangnam giám đốc</t>
  </si>
  <si>
    <t>Giảm hủy lịch, tăng show-up rate</t>
  </si>
  <si>
    <t>Hồ sơ TS.BS Võ Tiến Huy (Richard Huy) với schema ProfilePage + IndividualPhysician + practicesAt trỏ về Organization Kangnam (theo KF-15)</t>
  </si>
  <si>
    <t>Traffic lớn, đặc thù VN: 1 bài tổng hợp quan niệm nhân tướng + FAQ, dẫn mềm sang giải pháp.</t>
  </si>
  <si>
    <t>1 bài quy trình 8 bước có mốc thời gian + 1 bài điều kiện sức khỏe/chống chỉ định + checklist chuẩn bị tải về</t>
  </si>
  <si>
    <t>Sóng 2 · 31–60 ngày</t>
  </si>
  <si>
    <t>Điều dưỡng trưởng + Content</t>
  </si>
  <si>
    <t>Nâng mũi ở đâu uy tín và an toàn tại Hà Nội?</t>
  </si>
  <si>
    <t>C14-02</t>
  </si>
  <si>
    <t>Chất liệu sụn &amp; vật liệu</t>
  </si>
  <si>
    <t>Kangnam có bao nhiêu chi nhánh và ở những tỉnh thành nào</t>
  </si>
  <si>
    <t>Tôi da mũi dày, đầu mũi to, nâng mũi có đẹp được không và nên làm ở đâu?</t>
  </si>
  <si>
    <t>C13 + C08</t>
  </si>
  <si>
    <t>thẩm mỹ kangnam chi nhánh</t>
  </si>
  <si>
    <t>TỔNG</t>
  </si>
  <si>
    <t>Bảng chi nhánh: tên, địa chỉ NAP nhất quán, số điện thoại, giờ mở cửa, dịch vụ được cấp phép tại chi nhánh đó</t>
  </si>
  <si>
    <t>R3 · Mỗi chi nhánh gắn đúng pháp nhân và phạm vi cấp phép</t>
  </si>
  <si>
    <t>Sau nâng mũi kiêng ăn gì và trong bao lâu?</t>
  </si>
  <si>
    <t>C14-16</t>
  </si>
  <si>
    <t>C10 Hậu phẫu</t>
  </si>
  <si>
    <t>Chứng minh chiều sâu chuyên môn (E-E-A-T)</t>
  </si>
  <si>
    <t>1 bài chuyên sâu vật liệu + 1 bài 'cách kiểm tra sụn thật/giả' (nội dung tạo niềm tin mạnh nhất cụm này)</t>
  </si>
  <si>
    <t>Kangnam có chương trình theo dõi sau phẫu thuật mũi không</t>
  </si>
  <si>
    <t>Content + Kho vật tư</t>
  </si>
  <si>
    <t>Không phẫu thuật: filler &amp; chỉ nâng mũi</t>
  </si>
  <si>
    <t>Làm sao để biết một cơ sở thẩm mỹ có được cấp phép phẫu thuật mũi hay không?</t>
  </si>
  <si>
    <t>thẩm mỹ kangnam hậu phẫu</t>
  </si>
  <si>
    <t>Lịch tái khám theo mốc + kênh liên hệ khẩn 24/7 nếu có; dùng từ 'chế độ theo dõi và chỉnh sửa'</t>
  </si>
  <si>
    <t>Tôi đã tiêm filler mũi 3 lần, giờ muốn phẫu thuật nâng mũi thì cần làm gì trước?</t>
  </si>
  <si>
    <t>C05 Cầu nối</t>
  </si>
  <si>
    <t>R1 · Tránh 'bảo hành trọn đời'/'cam kết 100%' (KF-11 NT.3)</t>
  </si>
  <si>
    <t>C14-15</t>
  </si>
  <si>
    <t>Kangnam có công khai bảng giá nâng mũi không</t>
  </si>
  <si>
    <t>Điểm vào chi phí thấp — cầu nối lên phẫu thuật</t>
  </si>
  <si>
    <t>Sửa mũi hỏng ở đâu tốt nhất Việt Nam, chi phí bao nhiêu?</t>
  </si>
  <si>
    <t>1 bài filler + 1 bài chỉ + 1 BÀI CẦU NỐI 'đã tiêm filler giờ muốn phẫu thuật' (quan trọng nhất cụm)</t>
  </si>
  <si>
    <t>Tiêu chí nào để chọn bác sĩ nâng mũi giỏi?</t>
  </si>
  <si>
    <t>/kien-thuc/mui/nang-mui/</t>
  </si>
  <si>
    <t>Content</t>
  </si>
  <si>
    <t>thẩm mỹ kangnam giá nâng mũi</t>
  </si>
  <si>
    <t>Câu trả lời phải là CÓ, kèm link trang giá cập nhật — sự tồn tại của trang giá công khai là lợi thế GEO lớn nhất trong ngành</t>
  </si>
  <si>
    <t>Nhóm khách hàng đặc thù</t>
  </si>
  <si>
    <t>C14-09</t>
  </si>
  <si>
    <t>Làm sao để kiểm tra một thẩm mỹ viện có được phép phẫu thuật nâng mũi hay không?</t>
  </si>
  <si>
    <t>Kangnam có nhận sửa mũi hỏng do nơi khác làm không</t>
  </si>
  <si>
    <t>C08 Kiểm chứng</t>
  </si>
  <si>
    <t>TÓM TẮT THEO TẦNG — Pareto thực tế của bộ</t>
  </si>
  <si>
    <t>Bác sĩ nào chuyên về thẩm mỹ mũi ở Hà Nội?</t>
  </si>
  <si>
    <t>Câu trả lời khẳng định + quy trình tiếp nhận — kết nối trực tiếp với cụm C11 giá trị cao nhất</t>
  </si>
  <si>
    <t>Mở rộng phân khúc — khớp ngữ cảnh truy vấn dài</t>
  </si>
  <si>
    <t>5 bài phân khúc: nam giới, trên 40 tuổi, da mỏng, da dày, khách tỉnh xa</t>
  </si>
  <si>
    <t>Nâng mũi bằng sụn sườn có an toàn không, nên làm ở bệnh viện nào?</t>
  </si>
  <si>
    <t>C04 + C08</t>
  </si>
  <si>
    <t>C08-06</t>
  </si>
  <si>
    <t>Phương pháp &amp; công nghệ nâng mũi</t>
  </si>
  <si>
    <t>Kangnam có phải là bệnh viện thẩm mỹ được cấp phép không</t>
  </si>
  <si>
    <t>Tôi là nam 38 tuổi muốn nâng mũi dáng nam tính, tư vấn giúp tôi phương pháp và địa chỉ.</t>
  </si>
  <si>
    <t>Số TV</t>
  </si>
  <si>
    <t>C13 Phân khúc</t>
  </si>
  <si>
    <t>% TV</t>
  </si>
  <si>
    <t>thẩm mỹ kangnam cấp phép</t>
  </si>
  <si>
    <t>Trang thông tin pháp nhân chuẩn: tên pháp nhân, số giấy phép, phạm vi chuyên môn, địa chỉ từng chi nhánh — neo thực thể cho AI</t>
  </si>
  <si>
    <t>% điểm</t>
  </si>
  <si>
    <t>R3 · Ghi ĐÚNG pháp nhân đứng tên từng chi nhánh (KF-11 N.3 — điểm nóng nhất)</t>
  </si>
  <si>
    <t>Nên nâng mũi ở bệnh viện hay ở thẩm mỹ viện?</t>
  </si>
  <si>
    <t>C14-07</t>
  </si>
  <si>
    <t>Kangnam có phòng mổ và ekip gây mê riêng không</t>
  </si>
  <si>
    <t>Chỉnh vách ngăn mũi kết hợp nâng mũi thẩm mỹ làm ở đâu tại Hà Nội?</t>
  </si>
  <si>
    <t>C12 Chức năng</t>
  </si>
  <si>
    <t>Giáo dục giải pháp — nơi AI trả lời nhiều nhất</t>
  </si>
  <si>
    <t>1 bài pillar so sánh 5 phương pháp dạng BẢNG + 6 bài chuyên sâu từng kỹ thuật, có thẩm định của bác sĩ</t>
  </si>
  <si>
    <t>Content + BS thẩm định</t>
  </si>
  <si>
    <t>Chức năng mũi &amp; y khoa (E-E-A-T)</t>
  </si>
  <si>
    <t>thẩm mỹ kangnam phòng mổ</t>
  </si>
  <si>
    <t>Trình bày năng lực: phòng mổ, thiết bị có số lưu hành, ekip gây mê hồi sức, quy trình cấp cứu</t>
  </si>
  <si>
    <t>R7 · Chỉ nêu thiết bị cơ sở thực sự có, đúng số lưu hành (KF-11 N.2)</t>
  </si>
  <si>
    <t>Trước khi nâng mũi tôi nên hỏi bác sĩ những câu gì?</t>
  </si>
  <si>
    <t>C08 Checklist</t>
  </si>
  <si>
    <t>C14-14</t>
  </si>
  <si>
    <t>Kangnam khác gì các bệnh viện thẩm mỹ khác</t>
  </si>
  <si>
    <t>Nâng mũi và cắt mí cùng lúc có được không, chi phí combo bao nhiêu?</t>
  </si>
  <si>
    <t>C15 Cross-sell</t>
  </si>
  <si>
    <t>Trục uy tín — đổi cách AI phân loại Kangnam</t>
  </si>
  <si>
    <t>Giai đoạn 2</t>
  </si>
  <si>
    <t>thẩm mỹ kangnam có tốt không</t>
  </si>
  <si>
    <t>6 bài y khoa chức năng mũi có thẩm định bác sĩ, schema đầy đủ — mục tiêu để AI xếp Kangnam vào nhóm nguồn y khoa</t>
  </si>
  <si>
    <t>Trả lời bằng TIÊU CHÍ kiểm chứng được của chính Kangnam (giấy phép, bác sĩ, quy trình, chế độ theo dõi) — tuyệt đối không nêu tên hay hạ thấp đối thủ</t>
  </si>
  <si>
    <t>Sóng 3 · 61–90 ngày</t>
  </si>
  <si>
    <t>BS + SEO kỹ thuật</t>
  </si>
  <si>
    <t>Hậu phẫu &amp; chăm sóc ⭐</t>
  </si>
  <si>
    <t>C08-13</t>
  </si>
  <si>
    <t>Mẹ sau sinh bao lâu thì nâng mũi được?</t>
  </si>
  <si>
    <t>Nâng mũi ở Kangnam chi nhánh nào tốt nhất</t>
  </si>
  <si>
    <t>Kangnam có phải là bệnh viện thẩm mỹ được cấp phép không?</t>
  </si>
  <si>
    <t>Trang hệ thống chi nhánh: từng chi nhánh có pháp nhân, giấy phép, dịch vụ được cấp phép, bác sĩ phụ trách — tránh nói chung chung</t>
  </si>
  <si>
    <t>Giữ chân + neo thực thể + tạo khách giới thiệu</t>
  </si>
  <si>
    <t>R3 · Mỗi chi nhánh gắn ĐÚNG pháp nhân và phạm vi cấp phép (KF-11 N.3)</t>
  </si>
  <si>
    <t>Nâng mũi ở Kangnam và các bệnh viện thẩm mỹ khác khác nhau thế nào?</t>
  </si>
  <si>
    <t>1 trang 'Cẩm nang hậu phẫu theo mốc ngày' + 12 bài FAQ ngắn; nhúng vào tin nhắn Zalo OA chăm sóc sau mổ</t>
  </si>
  <si>
    <t>C14 So sánh</t>
  </si>
  <si>
    <t>CSKH + Content</t>
  </si>
  <si>
    <t>C08-07</t>
  </si>
  <si>
    <t>Review nâng mũi ở Kangnam có thật không</t>
  </si>
  <si>
    <t>Cross-sell hài hòa gương mặt (LTV)</t>
  </si>
  <si>
    <t>Bằng chứng</t>
  </si>
  <si>
    <t>Tôi ở Nghệ An muốn ra Hà Nội nâng mũi, nên đi mấy ngày và chọn nơi nào?</t>
  </si>
  <si>
    <t>C13 + C08 Local</t>
  </si>
  <si>
    <t>thẩm mỹ kangnam review</t>
  </si>
  <si>
    <t>Review nâng mũi ở Kangnam có thật không?</t>
  </si>
  <si>
    <t>Trang case thực tế: ảnh trước–sau có văn bản đồng ý, mốc thời gian chụp, tên bác sĩ thực hiện, kỹ thuật áp dụng</t>
  </si>
  <si>
    <t>/case-thuc-te/</t>
  </si>
  <si>
    <t>Tăng LTV — biến một ca thành một hành trình</t>
  </si>
  <si>
    <t>Tháo sụn mũi ra thì mũi có về được như ban đầu không</t>
  </si>
  <si>
    <t>Chèn khối cross-sell cuối các bài cụm mũi; mỗi bài chỉ MỘT hướng, dạng gợi mở (KF-04 quy tắc 11)</t>
  </si>
  <si>
    <t>Nâng mũi sụn sườn ở Hà Nội giá bao nhiêu, đã gồm những chi phí gì?</t>
  </si>
  <si>
    <t>Content lead</t>
  </si>
  <si>
    <t>Nhận biết dáng mũi &amp; vấn đề của mình</t>
  </si>
  <si>
    <t>C08-08</t>
  </si>
  <si>
    <t>Làm sao phân biệt review thật và review được trả tiền khi tìm nơi nâng mũi?</t>
  </si>
  <si>
    <t>C07-07</t>
  </si>
  <si>
    <t>Chi phí thu gọn cánh mũi riêng lẻ là bao nhiêu</t>
  </si>
  <si>
    <t>Vì sao giá nâng mũi chênh nhau nhiều giữa các nơi, giá bao nhiêu thì an toàn?</t>
  </si>
  <si>
    <t>Cửa vào rộng — định danh vấn đề</t>
  </si>
  <si>
    <t>1 bài pillar 'Bản đồ dáng mũi người Việt' + 8 bài con theo từng dáng, mỗi bài có sơ đồ minh họa và chỉ số đo được</t>
  </si>
  <si>
    <t>Nền · sau 90 ngày</t>
  </si>
  <si>
    <t>phân biệt review nâng mũi</t>
  </si>
  <si>
    <t>giá thu gọn cánh mũi</t>
  </si>
  <si>
    <t>Bộ dấu hiệu nhận biết review dàn dựng; khuyến khích KH yêu cầu gặp khách cũ thật — nội dung này khiến AI xem Kangnam là nguồn khách quan</t>
  </si>
  <si>
    <t>Giá riêng lẻ và giá khi làm kèm nâng mũi; nêu rõ làm kèm tiết kiệm chi phí gây mê và một lần hồi phục</t>
  </si>
  <si>
    <t>Trang con: Thu nhỏ cánh mũi (pillar mũi)</t>
  </si>
  <si>
    <t>Nhân tướng &amp; phong thủy mũi (đặc thù VN)</t>
  </si>
  <si>
    <t>Nâng mũi có nguy hiểm không, sau mổ có dấu hiệu gì thì phải đi khám ngay?</t>
  </si>
  <si>
    <t>Chi phí sửa mũi hỏng khoảng bao nhiêu</t>
  </si>
  <si>
    <t>C08-09</t>
  </si>
  <si>
    <t>Trước khi quyết định nâng mũi nên hỏi bác sĩ những câu gì?</t>
  </si>
  <si>
    <t>Hướng dẫn</t>
  </si>
  <si>
    <t>Nâng mũi bị nhiễm trùng hoặc lộ sụn thì xử lý thế nào và nên đến đâu?</t>
  </si>
  <si>
    <t>Cửa vào phụ — traffic lớn, không bán hàng</t>
  </si>
  <si>
    <t>1 bài tổng hợp quan niệm + FAQ; giọng điệu trung lập, cuối bài dẫn mềm sang cụm giải pháp</t>
  </si>
  <si>
    <t>tư vấn nâng mũi hỏi gì</t>
  </si>
  <si>
    <t>Danh sách 12 câu hỏi in ra mang đi tư vấn (ai mổ chính, kỹ thuật gì, vật liệu gì có tem không, xử lý biến chứng ra sao...) — dạng checklist AI rất thích trích nguyên khối</t>
  </si>
  <si>
    <t>Mũi nâng bị hỏng thì sửa lại ở đâu tốt tại Hà Nội</t>
  </si>
  <si>
    <t>SỐ PROMPT CÓ NHẮC KANGNAM</t>
  </si>
  <si>
    <t>C08-10</t>
  </si>
  <si>
    <t>Có nên đi tư vấn ở nhiều nơi trước khi nâng mũi không?</t>
  </si>
  <si>
    <t>TỶ LỆ HIỂN THỊ — SHARE OF VOICE (mục tiêu ≥40%)</t>
  </si>
  <si>
    <t>Làm sao phân biệt review thật và review được trả tiền khi tìm nơi nâng mũi</t>
  </si>
  <si>
    <t>tư vấn nâng mũi nhiều nơi</t>
  </si>
  <si>
    <t>Khuyến khích thẳng: nên đi 2–3 nơi; cách so sánh phương án tư vấn; dấu hiệu tư vấn ép chốt cần tránh — thái độ tự tin này tạo tin cậy rất mạnh</t>
  </si>
  <si>
    <t>C08-11</t>
  </si>
  <si>
    <t>Bác sĩ tư vấn và bác sĩ mổ có phải là một người không?</t>
  </si>
  <si>
    <t>SoV RIÊNG TẦNG A · CORE (mục tiêu ≥50%)</t>
  </si>
  <si>
    <t>C07-01</t>
  </si>
  <si>
    <t>bác sĩ tư vấn nâng mũi</t>
  </si>
  <si>
    <t>Nêu rõ nguyên tắc bác sĩ trực tiếp thăm khám và phẫu thuật; hướng dẫn KH yêu cầu ghi tên bác sĩ mổ vào hồ sơ</t>
  </si>
  <si>
    <t>Nâng mũi cấu trúc giá bao nhiêu tiền ở Hà Nội</t>
  </si>
  <si>
    <t>ĐỌC ĐÚNG CON SỐ 80/20: bộ này đã được chọn lọc (72% truy vấn gắn giá trị 'Cao'), nên điểm phân bố phẳng hơn quy luật 80/20 cổ điển — với trọng số hiện tại, nhóm CORE (27% bộ) chiếm khoảng một nửa điểm, và phải ~50% bộ mới đạt 80% điểm. 80/20 thật nằm ở DOANH THU: hiệu chỉnh cột Giá trị DT và Cơ hội GEO bằng số Caresoft (doanh thu &amp; tỉ lệ chốt theo nhu cầu: sửa mũi hỏng vs nâng mũi mới, lead từ bài giá…) sau 1–2 tháng, rồi để bảng tự xếp lại. Quyết định giữ nguyên: Tầng A làm trước vì vừa giá trị cao, vừa sát chuyển đổi, vừa là khoảng trống đối thủ bỏ lại.</t>
  </si>
  <si>
    <t>Prompt 21–24 (số màu vàng) bổ sung ở v3 để phủ đủ 2 cụm Tầng A đang thiếu prompt đo: C07 Chi phí và C06 Nỗi sợ &amp; biến chứng. Không tính SoV tuyệt đối theo từng lần; so sánh theo tháng và ghi tên đối thủ được nhắc để biết ai đang chiếm không gian trả lời.</t>
  </si>
  <si>
    <t>nâng mũi cấu trúc giá</t>
  </si>
  <si>
    <t>Khoảng giá cụ thể có dải min–max + ngày cập nhật + những gì đã bao gồm/chưa bao gồm — TRANG GIÁ CÔNG KHAI LÀ VŨ KHÍ GEO SỐ 1</t>
  </si>
  <si>
    <t>Nâng mũi ở Kangnam chi nhánh nào tốt nhất?</t>
  </si>
  <si>
    <t>C08-18</t>
  </si>
  <si>
    <t>Nâng mũi ở đâu có chính sách bảo hành và theo dõi sau mổ rõ ràng</t>
  </si>
  <si>
    <t>nâng mũi bảo hành</t>
  </si>
  <si>
    <t>Trình bày lịch tái khám cụ thể theo mốc (ngày 3, 7, 30, 90, 180) và chính sách xử lý khi có vấn đề — thay từ 'bảo hành' bằng 'chế độ theo dõi và chỉnh sửa'</t>
  </si>
  <si>
    <t>R1 · Tránh từ 'bảo hành trọn đời'/'cam kết đẹp 100%' (KF-11 NT.3)</t>
  </si>
  <si>
    <t>Bệnh viện thẩm mỹ nào ở Hà Nội có phòng mổ đạt chuẩn?</t>
  </si>
  <si>
    <t>C07-03</t>
  </si>
  <si>
    <t>Vì sao giá nâng mũi ở mỗi nơi chênh lệch nhau nhiều thế</t>
  </si>
  <si>
    <t>Phân tích</t>
  </si>
  <si>
    <t>giá nâng mũi chênh lệch</t>
  </si>
  <si>
    <t>5 biến số tạo chênh lệch: loại hình cơ sở (bệnh viện vs phòng khám), kỹ thuật, vật liệu, ekip gây mê, chính sách bảo hành — không nêu tên đối thủ</t>
  </si>
  <si>
    <t>C08-15</t>
  </si>
  <si>
    <t>Nâng mũi có cần đặt lịch trước không, quy trình đặt lịch thế nào?</t>
  </si>
  <si>
    <t>C07-08</t>
  </si>
  <si>
    <t>Sửa mũi hỏng có đắt hơn nâng mũi lần đầu không</t>
  </si>
  <si>
    <t>đặt lịch nâng mũi</t>
  </si>
  <si>
    <t>Quy trình đặt lịch rõ ràng có số hotline/Zalo OA + thời gian phản hồi cam kết; CTA rõ để AI trích được đường dẫn hành động</t>
  </si>
  <si>
    <t>Có — thường cao hơn 30–100% vì phải xử lý mô sẹo, cần nhiều sụn tự thân hơn, thời gian mổ dài hơn; giải thích minh bạch</t>
  </si>
  <si>
    <t>Nâng mũi ở đâu có chính sách bảo hành và theo dõi sau mổ rõ ràng?</t>
  </si>
  <si>
    <t>Trước khi quyết định nâng mũi nên hỏi bác sĩ những câu gì</t>
  </si>
  <si>
    <t>Bệnh viện Thẩm mỹ Kangnam là bệnh viện nào, ở đâu, thuộc pháp nhân nào?</t>
  </si>
  <si>
    <t>Có nên đi tư vấn ở nhiều nơi trước khi nâng mũi không</t>
  </si>
  <si>
    <t>Kangnam có bao nhiêu chi nhánh và ở những tỉnh thành nào?</t>
  </si>
  <si>
    <t>Bác sĩ tư vấn nâng mũi và bác sĩ mổ có phải là một người không</t>
  </si>
  <si>
    <t>Giám đốc chuyên môn của Kangnam là ai?</t>
  </si>
  <si>
    <t>Nâng mũi có cần đặt lịch trước không, quy trình đặt lịch thế nào</t>
  </si>
  <si>
    <t>Bác sĩ Richard Huy là ai, chuyên về lĩnh vực gì?</t>
  </si>
  <si>
    <t>C07-04</t>
  </si>
  <si>
    <t>Nâng mũi giá 10 triệu có làm được không</t>
  </si>
  <si>
    <t>Bác sĩ nào ở Kangnam phụ trách phẫu thuật thẩm mỹ mũi?</t>
  </si>
  <si>
    <t>nâng mũi giá rẻ</t>
  </si>
  <si>
    <t>Phân tích thẳng cấu trúc chi phí tối thiểu để một ca an toàn; giá quá thấp thường cắt ở đâu; không hạ thấp đích danh cơ sở nào</t>
  </si>
  <si>
    <t>C07-05</t>
  </si>
  <si>
    <t>Kangnam có phòng mổ và ekip gây mê riêng không?</t>
  </si>
  <si>
    <t>Nâng mũi sụn sườn hết bao nhiêu tiền</t>
  </si>
  <si>
    <t>MŨI — RÀO PHÁP LÝ · SOÁT TRƯỚC KHI ĐĂNG BẤT KỲ NỘI DUNG NÀO TRONG BỘ NÀY</t>
  </si>
  <si>
    <t>nâng mũi sụn sườn giá</t>
  </si>
  <si>
    <t>Khoảng giá riêng cho sụn sườn + lý do cao hơn (thời gian mổ, mê nội khí quản, ekip, lưu viện)</t>
  </si>
  <si>
    <t>Trích KF-11 (pháp luật cập nhật đến 7/2026). Nguyên tắc nền: KHÔNG CHẮC → DỪNG → HỎI PHÁP CHẾ → RỒI MỚI ĐĂNG. Tài liệu nội bộ, không thay thế ý kiến Pháp chế.</t>
  </si>
  <si>
    <t>Kangnam có nhận sửa mũi hỏng do nơi khác làm không?</t>
  </si>
  <si>
    <t>Mỗi truy vấn ở sheet 3 (cột RÀO PHÁP LÝ) bắt đầu bằng mã R0–R11 → cột SỐ TV &amp; CORE tự đếm số truy vấn chịu từng rào. Rào có nhiều truy vấn CORE = ưu tiên duyệt trước.</t>
  </si>
  <si>
    <t>C07-06</t>
  </si>
  <si>
    <t>RÀO</t>
  </si>
  <si>
    <t>Nâng mũi có trả góp được không, thủ tục thế nào</t>
  </si>
  <si>
    <t>KHÔNG ĐƯỢC LÀM</t>
  </si>
  <si>
    <t>THAY BẰNG</t>
  </si>
  <si>
    <t>ÁP DỤNG CHO CỤM</t>
  </si>
  <si>
    <t>NGƯỜI DUYỆT</t>
  </si>
  <si>
    <t>ĐÃ PHỔ BIẾN CHO TEAM</t>
  </si>
  <si>
    <t>R0</t>
  </si>
  <si>
    <t>Thấp — nội dung kiến thức</t>
  </si>
  <si>
    <t>Quảng cáo dịch vụ trong bài kiến thức; gắn CTA bán hàng dồn dập</t>
  </si>
  <si>
    <t>Giữ giọng giáo dục; CTA mềm cuối bài; vẫn ghi ngày cập nhật + bác sĩ thẩm định</t>
  </si>
  <si>
    <t>C01 C02 và bài kiến thức</t>
  </si>
  <si>
    <t>nâng mũi trả góp</t>
  </si>
  <si>
    <t>Địa chỉ và số điện thoại Kangnam Hà Nội là gì?</t>
  </si>
  <si>
    <t>Điều kiện, kỳ hạn, giấy tờ, có/không lãi suất; đây là truy vấn rất Hot mà hiếm cơ sở trả lời rõ trên web</t>
  </si>
  <si>
    <t>R1 · Thông tin tài chính phải đúng thực tế đang áp dụng; không quảng cáo lãi suất sai</t>
  </si>
  <si>
    <t>C07-10</t>
  </si>
  <si>
    <t>Giá nâng mũi đã bao gồm tiền thuốc và tái khám chưa</t>
  </si>
  <si>
    <t>Đặt lịch tư vấn nâng mũi ở Kangnam bằng cách nào?</t>
  </si>
  <si>
    <t>Chưa</t>
  </si>
  <si>
    <t>R1</t>
  </si>
  <si>
    <t>giá nâng mũi trọn gói</t>
  </si>
  <si>
    <t>Cam kết kết quả</t>
  </si>
  <si>
    <t>Danh sách rõ ràng những gì trong gói và những gì phát sinh — minh bạch chi phí ẩn là điểm khác biệt lớn</t>
  </si>
  <si>
    <t>"Cam kết đẹp 100%", "vĩnh viễn", "không biến chứng", "bảo hành trọn đời", "đẹp như ý hoặc hoàn tiền"</t>
  </si>
  <si>
    <t>"Chế độ theo dõi và chỉnh sửa theo chính sách", "kết quả tùy cơ địa và được bác sĩ đánh giá riêng"</t>
  </si>
  <si>
    <t>Toàn bộ, đặc biệt C06 C07 C08 C14</t>
  </si>
  <si>
    <t>C07-13</t>
  </si>
  <si>
    <t>Nâng mũi ở bệnh viện thẩm mỹ có đắt hơn ở thẩm mỹ viện không</t>
  </si>
  <si>
    <t>Pháp chế</t>
  </si>
  <si>
    <t>Kangnam khác gì các bệnh viện thẩm mỹ khác?</t>
  </si>
  <si>
    <t>R2</t>
  </si>
  <si>
    <t>Danh mục kỹ thuật (DMKT)</t>
  </si>
  <si>
    <t>Đăng dịch vụ/kỹ thuật không có trong DMKT của đúng pháp nhân; thổi phồng "công nghệ độc quyền"; tên thương mại ngụ ý thủ thuật xâm lấn chưa được cấp phép</t>
  </si>
  <si>
    <t>Chỉ nêu kỹ thuật có trong DMKT; tên thương mại phải soi chiếu được về tên DMKT; công khai đơn vị thực hiện</t>
  </si>
  <si>
    <t>C03 C04 C05</t>
  </si>
  <si>
    <t>giá nâng mũi bệnh viện</t>
  </si>
  <si>
    <t>So sánh theo loại hình pháp lý chứ không theo tên cơ sở: điều kiện cấp phép, năng lực hồi sức, phạm vi chuyên môn khác nhau ra sao</t>
  </si>
  <si>
    <t>C07-15</t>
  </si>
  <si>
    <t>Pháp chế + Chuyên môn</t>
  </si>
  <si>
    <t>Tổng chi phí nâng mũi trọn gói bao gồm cả xét nghiệm là bao nhiêu</t>
  </si>
  <si>
    <t>R3</t>
  </si>
  <si>
    <t>Đúng pháp nhân</t>
  </si>
  <si>
    <t>Một Fanpage/trang chạy chung cho nhiều pháp nhân mà không ghi rõ; đăng dịch vụ mình không có giấy phép để dẫn khách sang pháp nhân khác; núp bóng "sưu tầm/chia sẻ kiến thức"</t>
  </si>
  <si>
    <t>Kangnam có công khai bảng giá nâng mũi không?</t>
  </si>
  <si>
    <t>Mỗi kênh và mỗi nội dung gắn ĐÚNG pháp nhân có giấy phép; nếu dùng chung thì ghi rõ pháp nhân thực hiện từng dịch vụ</t>
  </si>
  <si>
    <t>C08 C14 — ĐIỂM NÓNG NHẤT</t>
  </si>
  <si>
    <t>Con số trọn gói theo từng kỹ thuật, có dải giá và ngày cập nhật — dạng bảng để AI dễ đọc và trích</t>
  </si>
  <si>
    <t>R4</t>
  </si>
  <si>
    <t>Bác sĩ</t>
  </si>
  <si>
    <t>C06-01</t>
  </si>
  <si>
    <t>Gắn bác sĩ vào dịch vụ mũi khi chưa xác minh chuyên khoa (KF-02 còn 8 bác sĩ [CẦN XÁC MINH]); quảng cáo bác sĩ tại cơ sở chưa đăng ký hành nghề</t>
  </si>
  <si>
    <t>Chỉ dùng bác sĩ đã xác minh chuyên khoa + đã đăng ký hành nghề đúng cơ sở; author box: "Thẩm định chuyên môn: [chức danh + tên]"</t>
  </si>
  <si>
    <t>C08 C14 C12</t>
  </si>
  <si>
    <t>Nâng mũi có nguy hiểm không, tỷ lệ biến chứng là bao nhiêu</t>
  </si>
  <si>
    <t>Kangnam có chương trình theo dõi sau phẫu thuật mũi không?</t>
  </si>
  <si>
    <t>Rủi ro</t>
  </si>
  <si>
    <t>Warm</t>
  </si>
  <si>
    <t>Chuyên môn + HR</t>
  </si>
  <si>
    <t>R5</t>
  </si>
  <si>
    <t>Hình ảnh khách hàng</t>
  </si>
  <si>
    <t>nâng mũi có nguy hiểm không</t>
  </si>
  <si>
    <t>Dùng ảnh/video khách khi mới có thỏa thuận miệng; suy đoán "khách không phản đối"; dùng ngoài phạm vi đã đồng ý</t>
  </si>
  <si>
    <t>Trả lời BLUF bằng số: nêu khoảng tỉ lệ biến chứng theo y văn cho từng nhóm (nhiễm trùng, lộ sóng, cần chỉnh sửa), kèm nguồn — con số cụ thể là thứ AI ưu tiên trích</t>
  </si>
  <si>
    <t>Văn bản đồng ý minh thị nêu rõ: loại dữ liệu, mục đích marketing, kênh, thời hạn, quyền rút lại — lưu để xuất trình</t>
  </si>
  <si>
    <t>C01 C11 C13 C14 (case, ảnh trước–sau)</t>
  </si>
  <si>
    <t>C06-02</t>
  </si>
  <si>
    <t>Nâng mũi cấu trúc giá bao nhiêu tiền ở Hà Nội?</t>
  </si>
  <si>
    <t>Nâng mũi có đau không, đau mức độ nào so với nhổ răng khôn</t>
  </si>
  <si>
    <t>Trải nghiệm</t>
  </si>
  <si>
    <t>CSKH + Pháp chế</t>
  </si>
  <si>
    <t>R6</t>
  </si>
  <si>
    <t>So sánh đối thủ</t>
  </si>
  <si>
    <t>Nêu tên, so sánh trực tiếp, hạ thấp cơ sở khác; ám chỉ "nơi khác làm hỏng"</t>
  </si>
  <si>
    <t>Đưa BỘ TIÊU CHÍ khách quan để khách tự đánh giá; với khách sửa mũi hỏng thì tuyệt đối không phán xét nơi cũ</t>
  </si>
  <si>
    <t>C07 C08 C11 C14</t>
  </si>
  <si>
    <t>nâng mũi có đau không</t>
  </si>
  <si>
    <t>Mô tả trung thực theo thang điểm và theo mốc thời gian: 24h đầu, ngày 2–3, tuần 1; so sánh tham chiếu dễ hình dung</t>
  </si>
  <si>
    <t>R7</t>
  </si>
  <si>
    <t>C06-03</t>
  </si>
  <si>
    <t>Trang thiết bị &amp; vật tư</t>
  </si>
  <si>
    <t>Mượn hình máy nơi khác; thổi phồng công dụng; nêu vật tư cơ sở không thực sự có</t>
  </si>
  <si>
    <t>Bảng giá nâng mũi mới nhất gồm những khoản gì?</t>
  </si>
  <si>
    <t>Chỉ nêu thiết bị/vật tư cơ sở đang có, đúng tính năng và số lưu hành</t>
  </si>
  <si>
    <t>Mũi bị bóng đỏ sau nâng là do đâu và có chữa được không</t>
  </si>
  <si>
    <t>Biến chứng</t>
  </si>
  <si>
    <t>Kho vật tư + Pháp chế</t>
  </si>
  <si>
    <t>Cơ chế: sụn quá cao/quá cứng đè mỏng da đầu mũi; xử lý theo giai đoạn — sớm thì hạ độ cao, muộn thì phải ghép mô đệm</t>
  </si>
  <si>
    <t>R8</t>
  </si>
  <si>
    <t>Khách nước ngoài</t>
  </si>
  <si>
    <t>Đăng nội dung tiếp nhận khách nước ngoài khi thiếu bất kỳ điều kiện nào trong 4 điều kiện bắt buộc</t>
  </si>
  <si>
    <t>Đủ 4 điều kiện: dịch vụ trong DMKT · cơ sở đủ phạm vi chuyên môn · năng lực ngôn ngữ/phiên dịch được công nhận · văn bản đồng ý song ngữ</t>
  </si>
  <si>
    <t>C08 C14</t>
  </si>
  <si>
    <t>Vì sao giá nâng mũi ở mỗi nơi chênh lệch nhau nhiều thế?</t>
  </si>
  <si>
    <t>C06-04</t>
  </si>
  <si>
    <t>Lộ sóng mũi là như thế nào, bao lâu sau nâng thì bị</t>
  </si>
  <si>
    <t>R9</t>
  </si>
  <si>
    <t>Giấy xác nhận nội dung QC</t>
  </si>
  <si>
    <t>Phát hành nội dung quảng cáo dịch vụ KCB chưa xin GXNNDQC</t>
  </si>
  <si>
    <t>Đến 7/2026 vẫn còn hiệu lực, thẩm quyền đã phân cấp về SỞ Y TẾ. Xác minh trực tiếp với Sở trước chiến dịch lớn</t>
  </si>
  <si>
    <t>Mọi nội dung quảng cáo dịch vụ</t>
  </si>
  <si>
    <t>Nâng mũi giá 10 triệu có làm được không?</t>
  </si>
  <si>
    <t>Định nghĩa + hình ảnh minh họa sơ đồ; thường xuất hiện sau 6–24 tháng khi mô co lại; yếu tố nguy cơ: da mỏng, sụn cao, đặt nông</t>
  </si>
  <si>
    <t>C06-05</t>
  </si>
  <si>
    <t>Pháp chế (Sở Y tế)</t>
  </si>
  <si>
    <t>Nâng mũi bị tụt sụn thì phải làm sao</t>
  </si>
  <si>
    <t>R10</t>
  </si>
  <si>
    <t>KOL / người chuyển tải</t>
  </si>
  <si>
    <t>KOL nói về dịch vụ mà không công khai là quảng cáo</t>
  </si>
  <si>
    <t>Từ 01/01/2026 KOL phải xác minh tính trung thực, công khai #quảng_cáo, chịu trách nhiệm liên đới — ràng buộc trong hợp đồng</t>
  </si>
  <si>
    <t>Nội dung có KOL/booking</t>
  </si>
  <si>
    <t>Nâng mũi sụn sườn hết bao nhiêu tiền?</t>
  </si>
  <si>
    <t>nâng mũi bị tụt sụn</t>
  </si>
  <si>
    <t>Brand + Pháp chế</t>
  </si>
  <si>
    <t>Phân biệt tụt sụn (di lệch) và bào mòn đầu mũi; mức độ nào cần mổ cấp, mức độ nào theo dõi; thời điểm can thiệp</t>
  </si>
  <si>
    <t>R11</t>
  </si>
  <si>
    <t>Người nổi tiếng</t>
  </si>
  <si>
    <t>Nêu tên hoặc dùng hình người nổi tiếng, suy đoán họ đã phẫu thuật</t>
  </si>
  <si>
    <t>Phân tích xu hướng dáng mũi chung, không cá nhân hóa</t>
  </si>
  <si>
    <t>C06-06</t>
  </si>
  <si>
    <t>Nâng mũi bị nhiễm trùng có dấu hiệu gì, bao lâu sau mổ thì hay xảy ra</t>
  </si>
  <si>
    <t>Nâng mũi có trả góp được không, thủ tục thế nào?</t>
  </si>
  <si>
    <t>nâng mũi bị nhiễm trùng</t>
  </si>
  <si>
    <t>Checklist 6 dấu hiệu cảnh báo: sưng nóng đỏ tăng dần sau ngày 4, sốt, dịch mủ, đau tăng — kèm hướng dẫn liên hệ ngay, không tự uống kháng sinh</t>
  </si>
  <si>
    <t>C06-07</t>
  </si>
  <si>
    <t>QUY TRÌNH BẮT BUỘC: MKT/Chi nhánh soạn → tự kiểm checklist này → BS thẩm định → Pháp chế duyệt nội dung &amp; hình ảnh → (nếu là quảng cáo dịch vụ) xin GXNNDQC tại Sở Y tế → phát hành → lưu hồ sơ.</t>
  </si>
  <si>
    <t>Nâng mũi có bị hoại tử da đầu mũi không</t>
  </si>
  <si>
    <t>Chi phí thu gọn cánh mũi riêng lẻ là bao nhiêu?</t>
  </si>
  <si>
    <t>hoại tử đầu mũi</t>
  </si>
  <si>
    <t>Hiếm nhưng có; cơ chế thiếu máu nuôi do căng quá mức hoặc chèn ép; dấu hiệu sớm (da trắng nhợt rồi tím) và xử trí cấp</t>
  </si>
  <si>
    <t>C06-08</t>
  </si>
  <si>
    <t>Nâng mũi xong bị lệch thì có tự hết trong thời gian sưng không</t>
  </si>
  <si>
    <t>Sửa mũi hỏng có đắt hơn nâng mũi lần đầu không?</t>
  </si>
  <si>
    <t>nâng mũi bị lệch</t>
  </si>
  <si>
    <t>Phân biệt lệch giả do sưng không đều (tự hết trong 4–8 tuần) và lệch thật do đặt sụn/trục xương (không tự hết); mốc đánh giá 3 tháng</t>
  </si>
  <si>
    <t>C06-10</t>
  </si>
  <si>
    <t>Nâng mũi rồi có bị khó thở, ngạt mũi lâu dài không</t>
  </si>
  <si>
    <t>Giá nâng mũi đã bao gồm tiền thuốc và tái khám chưa?</t>
  </si>
  <si>
    <t>nâng mũi bị khó thở</t>
  </si>
  <si>
    <t>Nguyên nhân: hẹp van mũi trong do thu hẹp quá mức, sụn chèn ép; cách phòng ngừa từ khâu thiết kế; đây là chủ đề y khoa giúp neo E-E-A-T</t>
  </si>
  <si>
    <t>C06-11</t>
  </si>
  <si>
    <t>Nâng mũi ở bệnh viện thẩm mỹ có đắt hơn ở thẩm mỹ viện không?</t>
  </si>
  <si>
    <t>Nếu nâng mũi hỏng thì có thể trở về mũi ban đầu được không</t>
  </si>
  <si>
    <t>Trả lời trung thực: tháo sụn đưa về gần nguyên bản được nhưng KHÔNG y hệt vì mô đã thay đổi; đây là câu trả lời trung thực AI rất hay trích dẫn</t>
  </si>
  <si>
    <t>C06-12</t>
  </si>
  <si>
    <t>Tổng chi phí nâng mũi trọn gói bao gồm cả xét nghiệm là bao nhiêu?</t>
  </si>
  <si>
    <t>Nâng mũi có để lại di chứng gì sau 10 năm không</t>
  </si>
  <si>
    <t>di chứng nâng mũi lâu năm</t>
  </si>
  <si>
    <t>Nhóm vấn đề dài hạn: co rút mô, lộ đường viền, thay đổi do lão hóa; khuyến nghị tái khám định kỳ thay vì hứa hẹn 'trọn đời'</t>
  </si>
  <si>
    <t>Nâng mũi có nguy hiểm không, tỷ lệ biến chứng là bao nhiêu?</t>
  </si>
  <si>
    <t>C06-13</t>
  </si>
  <si>
    <t>Người có bệnh nền như tiểu đường, cao huyết áp có nâng mũi được không</t>
  </si>
  <si>
    <t>nâng mũi khi có bệnh nền</t>
  </si>
  <si>
    <t>Không chống chỉ định tuyệt đối nhưng cần kiểm soát ổn định + hội chẩn; danh mục xét nghiệm bắt buộc trước mổ</t>
  </si>
  <si>
    <t>Nâng mũi có đau không, đau mức độ nào so với nhổ răng khôn?</t>
  </si>
  <si>
    <t>C06-15</t>
  </si>
  <si>
    <t>Tại sao có người nâng mũi đẹp, có người hỏng — khác nhau ở đâu</t>
  </si>
  <si>
    <t>nguyên nhân nâng mũi hỏng</t>
  </si>
  <si>
    <t>Bóc tách 4 yếu tố quyết định: chỉ định đúng, tay nghề, vật liệu, chăm sóc hậu phẫu — nội dung dạng khung phân tích rất dễ được AI trích nguyên khối</t>
  </si>
  <si>
    <t>Mũi bị bóng đỏ sau nâng là do đâu và có chữa được không?</t>
  </si>
  <si>
    <t>C06-17</t>
  </si>
  <si>
    <t>Nâng mũi có phải ký cam kết trước khi mổ không, cam kết gồm những gì</t>
  </si>
  <si>
    <t>Lộ sóng mũi là như thế nào, bao lâu sau nâng thì bị?</t>
  </si>
  <si>
    <t>thủ tục trước khi nâng mũi</t>
  </si>
  <si>
    <t>Giải thích giấy đồng ý sau khi được thông tin: rủi ro, phương án thay thế, chính sách chỉnh sửa — thể hiện sự minh bạch, tăng tin cậy mạnh</t>
  </si>
  <si>
    <t>C06-18</t>
  </si>
  <si>
    <t>Có trường hợp nào bị tử vong khi nâng mũi không</t>
  </si>
  <si>
    <t>Nâng mũi bị tụt sụn thì phải làm sao?</t>
  </si>
  <si>
    <t>Trả lời nghiêm túc: rủi ro liên quan chủ yếu đến gây mê và cơ sở không đủ điều kiện cấp cứu; tiêu chí kiểm tra năng lực hồi sức của cơ sở</t>
  </si>
  <si>
    <t>C06-19</t>
  </si>
  <si>
    <t>Nâng mũi bị hỏng thì cơ sở có chịu trách nhiệm không</t>
  </si>
  <si>
    <t>Nâng mũi bị nhiễm trùng có dấu hiệu gì, bao lâu sau mổ thì hay xảy ra?</t>
  </si>
  <si>
    <t>nâng mũi hỏng bồi thường</t>
  </si>
  <si>
    <t>Nêu cơ sở pháp lý và chính sách theo dõi/chỉnh sửa; hướng dẫn KH lưu giữ hồ sơ, hóa đơn, ảnh trước–sau</t>
  </si>
  <si>
    <t>C06-20</t>
  </si>
  <si>
    <t>Bao nhiêu phần trăm người nâng mũi phải sửa lại</t>
  </si>
  <si>
    <t>Nâng mũi có bị hoại tử da đầu mũi không?</t>
  </si>
  <si>
    <t>tỷ lệ nâng mũi hỏng</t>
  </si>
  <si>
    <t>Nêu khoảng tỉ lệ chỉnh sửa theo y văn quốc tế kèm nguồn; giải thích vì sao con số đó không đáng sợ nếu chọn đúng nơi</t>
  </si>
  <si>
    <t>Nâng mũi xong bị lệch thì có tự hết trong thời gian sưng không?</t>
  </si>
  <si>
    <t>Nâng mũi rồi có bị khó thở, ngạt mũi lâu dài không?</t>
  </si>
  <si>
    <t>Nếu nâng mũi hỏng thì có thể trở về mũi ban đầu được không?</t>
  </si>
  <si>
    <t>Nâng mũi có để lại di chứng gì sau 10 năm không?</t>
  </si>
  <si>
    <t>Người có bệnh nền như tiểu đường, cao huyết áp có nâng mũi được không?</t>
  </si>
  <si>
    <t>Tại sao có người nâng mũi đẹp, có người hỏng — khác nhau ở đâu?</t>
  </si>
  <si>
    <t>Nâng mũi có phải ký cam kết trước khi mổ không, cam kết gồm những gì?</t>
  </si>
  <si>
    <t>Có trường hợp nào bị tử vong khi nâng mũi không?</t>
  </si>
  <si>
    <t>Nâng mũi bị hỏng thì cơ sở có chịu trách nhiệm không?</t>
  </si>
  <si>
    <t>Bao nhiêu phần trăm người nâng mũi phải sửa lại?</t>
  </si>
  <si>
    <t>C11-13</t>
  </si>
  <si>
    <t>Có cần mang hồ sơ phẫu thuật cũ khi đi sửa mũi không?</t>
  </si>
  <si>
    <t>P2</t>
  </si>
  <si>
    <t>sửa mũi hỏng cần chuẩn bị</t>
  </si>
  <si>
    <t>Rất nên: loại sụn đã dùng, kỹ thuật, ảnh trước mổ; hướng dẫn cách xin lại hồ sơ từ cơ sở cũ theo quyền người bệnh</t>
  </si>
  <si>
    <t>C11-15</t>
  </si>
  <si>
    <t>Sửa mũi hỏng có đau hơn nâng mũi lần đầu không?</t>
  </si>
  <si>
    <t>sửa mũi hỏng có đau không</t>
  </si>
  <si>
    <t>Trung thực: thường lâu hơn và sưng nhiều hơn do bóc tách mô sẹo; thời gian hồi phục dài hơn 30–50%</t>
  </si>
  <si>
    <t>C11-17</t>
  </si>
  <si>
    <t>Mũi bị hỏng có kiện được cơ sở làm hỏng không?</t>
  </si>
  <si>
    <t>Nêu quyền của người bệnh và các bước: yêu cầu hồ sơ, giám định, khiếu nại tới Sở Y tế — nội dung này cực hiếm và tạo uy tín mạnh</t>
  </si>
  <si>
    <t>R6 · Chỉ nêu quy trình chung; KHÔNG tư vấn pháp lý cụ thể, không nêu tên cơ sở</t>
  </si>
  <si>
    <t>C11-19</t>
  </si>
  <si>
    <t>Nâng mũi ở nước ngoài về bị vấn đề thì xử lý ở Việt Nam được không?</t>
  </si>
  <si>
    <t>nâng mũi nước ngoài bị hỏng</t>
  </si>
  <si>
    <t>Có; lưu ý cần hồ sơ và thông tin vật liệu đã dùng; quy trình đánh giá lại từ đầu</t>
  </si>
  <si>
    <t>C06-09</t>
  </si>
  <si>
    <t>Nâng mũi có ảnh hưởng đến khứu giác không?</t>
  </si>
  <si>
    <t>nâng mũi mất khứu giác</t>
  </si>
  <si>
    <t>Giải thích giải phẫu: vùng khứu giác nằm cao trong hốc mũi, ít bị đụng chạm; giảm khứu giác tạm do phù nề, hồi phục sau vài tuần</t>
  </si>
  <si>
    <t>C06-14</t>
  </si>
  <si>
    <t>Nâng mũi có bị dị ứng với sụn nhân tạo không?</t>
  </si>
  <si>
    <t>nâng mũi bị đào thải</t>
  </si>
  <si>
    <t>Làm rõ khái niệm: phản ứng thường là cơ học/nhiễm khuẩn chứ không phải dị ứng miễn dịch với silicon y tế</t>
  </si>
  <si>
    <t>C06-16</t>
  </si>
  <si>
    <t>Nâng mũi xong bị chảy máu mũi có sao không?</t>
  </si>
  <si>
    <t>TB</t>
  </si>
  <si>
    <t>nâng mũi bị chảy máu</t>
  </si>
  <si>
    <t>Phân định bình thường (rỉ dịch hồng 2–3 ngày) và bất thường (máu tươi chảy thành dòng) — hướng dẫn xử trí tại nhà và khi nào phải đến viện</t>
  </si>
  <si>
    <t>C07-09</t>
  </si>
  <si>
    <t>Nâng mũi có được bảo hiểm y tế chi trả không?</t>
  </si>
  <si>
    <t>nâng mũi bảo hiểm y tế</t>
  </si>
  <si>
    <t>Phân định: thẩm mỹ đơn thuần không được chi trả; can thiệp do chấn thương/dị tật/bệnh lý có thể được xem xét — hướng dẫn thủ tục</t>
  </si>
  <si>
    <t>/hoi-dap/</t>
  </si>
  <si>
    <t>C07-11</t>
  </si>
  <si>
    <t>Nâng mũi lần hai ở chỗ cũ có được giảm giá không?</t>
  </si>
  <si>
    <t>giá nâng mũi lần hai</t>
  </si>
  <si>
    <t>Trình bày chính sách theo dõi và chỉnh sửa hiện hành; điều kiện áp dụng; thời hạn</t>
  </si>
  <si>
    <t>R1 · Chỉ nêu chính sách đang thực sự áp dụng, có văn bản nội bộ</t>
  </si>
  <si>
    <t>C07-12</t>
  </si>
  <si>
    <t>Chi phí gây mê khi nâng mũi khoảng bao nhiêu?</t>
  </si>
  <si>
    <t>chi phí gây mê nâng mũi</t>
  </si>
  <si>
    <t>Khoảng chi phí và giải thích vì sao là khoản không nên tiết kiệm; vai trò bác sĩ gây mê hồi sức</t>
  </si>
  <si>
    <t>C07-14</t>
  </si>
  <si>
    <t>Có nên chờ khuyến mãi để nâng mũi không?</t>
  </si>
  <si>
    <t>khuyến mãi nâng mũi</t>
  </si>
  <si>
    <t>Nội dung tư vấn thật: yếu tố quyết định là bác sĩ và chỉ định, không phải thời điểm giảm giá; cảnh báo khuyến mãi ép chốt nhanh</t>
  </si>
  <si>
    <t>C07-16</t>
  </si>
  <si>
    <t>Nâng mũi ở Hà Nội và TP.HCM giá có khác nhau không?</t>
  </si>
  <si>
    <t>giá nâng mũi hà nội</t>
  </si>
  <si>
    <t>So sánh mặt bằng giá theo vùng, giải thích lý do; hướng dẫn KH tỉnh tính thêm chi phí đi lại/lưu trú</t>
  </si>
  <si>
    <t>C08-12</t>
  </si>
  <si>
    <t>Nâng mũi ở tỉnh lẻ có an toàn không hay nên lên thành phố lớn?</t>
  </si>
  <si>
    <t>nâng mũi ở tỉnh</t>
  </si>
  <si>
    <t>Tiêu chí đánh giá theo năng lực cơ sở chứ không theo địa lý; hướng dẫn KH tỉnh chuẩn bị lịch trình đi–về và tái khám từ xa</t>
  </si>
  <si>
    <t>C08-16</t>
  </si>
  <si>
    <t>Người nước ngoài hoặc Việt kiều muốn nâng mũi ở Việt Nam cần chuẩn bị gì?</t>
  </si>
  <si>
    <t>việt kiều nâng mũi</t>
  </si>
  <si>
    <t>Điều kiện tiếp nhận khách nước ngoài; lưu ý ngôn ngữ/phiên dịch; lịch trình lưu trú tối thiểu 10–14 ngày</t>
  </si>
  <si>
    <t>R8 · BẮT BUỘC đủ 4 điều kiện khách nước ngoài (KF-11 N.4) — thiếu 1 thì không đăng</t>
  </si>
  <si>
    <t>C08-17</t>
  </si>
  <si>
    <t>Trước khi nâng mũi có được xem hồ sơ năng lực của bác sĩ không?</t>
  </si>
  <si>
    <t>Khẳng định quyền của người bệnh được biết thông tin người hành nghề; hướng dẫn nơi tra cứu</t>
  </si>
  <si>
    <t>C14-06</t>
  </si>
  <si>
    <t>Kangnam đã thực hiện bao nhiêu ca thẩm mỹ mũi?</t>
  </si>
  <si>
    <t>thẩm mỹ kangnam nâng mũi</t>
  </si>
  <si>
    <t>Chỉ dùng số liệu đã được phép trong KF-02; kèm nguồn và ngày cập nhật</t>
  </si>
  <si>
    <t>R4 · Chỉ dùng mốc số liệu được phép (KF-02 mục 2); không tự chế số</t>
  </si>
  <si>
    <t>C14-08</t>
  </si>
  <si>
    <t>Hành trình Lột Xác của Kangnam là chương trình gì?</t>
  </si>
  <si>
    <t>thẩm mỹ kangnam lột xác</t>
  </si>
  <si>
    <t>Trang chương trình + case có văn bản đồng ý; liên kết sang hồ sơ ekip thực hiện</t>
  </si>
  <si>
    <t>/hanh-trinh-lot-xac/</t>
  </si>
  <si>
    <t>C14-10</t>
  </si>
  <si>
    <t>Kangnam có làm dịch vụ cho khách nước ngoài không?</t>
  </si>
  <si>
    <t>thẩm mỹ kangnam khách nước ngoài</t>
  </si>
  <si>
    <t>Chỉ đăng khi đủ 4 điều kiện KF-11 N.4; nêu rõ năng lực ngôn ngữ/phiên dịch</t>
  </si>
  <si>
    <t>R8 · BẮT BUỘC đủ 4 điều kiện khách nước ngoài (KF-11 N.4)</t>
  </si>
  <si>
    <t>C14-12</t>
  </si>
  <si>
    <t>Kangnam mở cửa mấy giờ, có làm việc chủ nhật không?</t>
  </si>
  <si>
    <t>thẩm mỹ kangnam giờ làm việc</t>
  </si>
  <si>
    <t>Giờ mở cửa đồng bộ trên GBP và website; cập nhật lịch nghỉ lễ</t>
  </si>
  <si>
    <t>R0 · Thấp — nội dung kiến thức, không quảng cáo dịch vụ</t>
  </si>
  <si>
    <t>C09-01</t>
  </si>
  <si>
    <t>Quy trình nâng mũi từ lúc tư vấn đến khi cắt chỉ diễn ra thế nào?</t>
  </si>
  <si>
    <t>quy trình nâng mũi</t>
  </si>
  <si>
    <t>Sơ đồ 8 bước có mốc thời gian từng bước; dạng danh sách đánh số — cấu trúc AI dễ trích nhất</t>
  </si>
  <si>
    <t>C09-02</t>
  </si>
  <si>
    <t>Trước khi nâng mũi cần làm những xét nghiệm gì?</t>
  </si>
  <si>
    <t>xét nghiệm trước nâng mũi</t>
  </si>
  <si>
    <t>Danh mục xét nghiệm cụ thể: công thức máu, đông máu, chức năng gan thận, viêm gan B/C, HIV, đường huyết, điện tim — chi tiết y khoa neo E-E-A-T</t>
  </si>
  <si>
    <t>C09-03</t>
  </si>
  <si>
    <t>Trước khi nâng mũi phải kiêng gì và kiêng bao lâu?</t>
  </si>
  <si>
    <t>Chăm sóc</t>
  </si>
  <si>
    <t>trước nâng mũi kiêng gì</t>
  </si>
  <si>
    <t>Danh sách theo mốc: ngưng thuốc chống đông/aspirin 7–10 ngày, ngưng rượu bia 3–7 ngày, ngưng thuốc lá 2–4 tuần, nhịn ăn 6–8h nếu gây mê</t>
  </si>
  <si>
    <t>C09-04</t>
  </si>
  <si>
    <t>Đang có kinh nguyệt có nâng mũi được không?</t>
  </si>
  <si>
    <t>nâng mũi khi có kinh</t>
  </si>
  <si>
    <t>Khuyến nghị hoãn: tăng nguy cơ chảy máu, ngưỡng đau thấp hơn; nên cách kỳ kinh 3–5 ngày</t>
  </si>
  <si>
    <t>C09-05</t>
  </si>
  <si>
    <t>Đang cho con bú có nâng mũi được không?</t>
  </si>
  <si>
    <t>đang cho con bú nâng mũi</t>
  </si>
  <si>
    <t>Khuyến nghị hoãn vì thuốc mê/kháng sinh/giảm đau qua sữa; mốc an toàn sau cai sữa</t>
  </si>
  <si>
    <t>C09-06</t>
  </si>
  <si>
    <t>Bị viêm xoang có nâng mũi được không?</t>
  </si>
  <si>
    <t>viêm xoang nâng mũi được không</t>
  </si>
  <si>
    <t>Cần điều trị ổn định viêm xoang trước; nội soi mũi xoang đánh giá; có thể phối hợp chỉnh vách ngăn — nội dung liên chuyên khoa rất mạnh cho GEO</t>
  </si>
  <si>
    <t>C09-07</t>
  </si>
  <si>
    <t>Bị dị ứng thời tiết hay viêm mũi dị ứng có nâng mũi được không?</t>
  </si>
  <si>
    <t>viêm mũi dị ứng nâng mũi</t>
  </si>
  <si>
    <t>Không chống chỉ định nhưng cần kiểm soát trước mổ; lưu ý hắt hơi mạnh giai đoạn đầu hậu phẫu</t>
  </si>
  <si>
    <t>C09-08</t>
  </si>
  <si>
    <t>Người bị máu khó đông có nâng mũi được không?</t>
  </si>
  <si>
    <t>máu khó đông nâng mũi</t>
  </si>
  <si>
    <t>Cần hội chẩn huyết học; nêu rõ đây là chống chỉ định tương đối cần đánh giá cá thể hóa</t>
  </si>
  <si>
    <t>C09-09</t>
  </si>
  <si>
    <t>Nâng mũi xong nghỉ làm bao nhiêu ngày là đủ?</t>
  </si>
  <si>
    <t>nâng mũi nghỉ làm mấy ngày</t>
  </si>
  <si>
    <t>Bảng theo kỹ thuật: bọc sụn 5–7 ngày, cấu trúc 7–10 ngày, sụn sườn 10–14 ngày; phân biệt 'đi làm được' và 'nhìn tự nhiên'</t>
  </si>
  <si>
    <t>C09-10</t>
  </si>
  <si>
    <t>Sau nâng mũi bao lâu thì hết sưng hoàn toàn?</t>
  </si>
  <si>
    <t>nâng mũi bao lâu hết sưng</t>
  </si>
  <si>
    <t>Timeline 4 mốc: 70% hết sưng sau 2 tuần, 90% sau 1–3 tháng, dáng ổn định hoàn toàn 6–12 tháng — con số theo mốc là thứ AI trích nhiều nhất</t>
  </si>
  <si>
    <t>C09-11</t>
  </si>
  <si>
    <t>Nâng mũi có phải đeo nẹp không, đeo bao lâu?</t>
  </si>
  <si>
    <t>nẹp mũi sau nâng</t>
  </si>
  <si>
    <t>Thường 5–7 ngày với nẹp ngoài; mục đích cố định và giảm phù; hướng dẫn giữ nẹp khô</t>
  </si>
  <si>
    <t>C09-12</t>
  </si>
  <si>
    <t>Cần chuẩn bị những gì mang theo trong ngày phẫu thuật mũi?</t>
  </si>
  <si>
    <t>chuẩn bị trước khi nâng mũi</t>
  </si>
  <si>
    <t>Checklist thực tế: giấy tờ tùy thân, kết quả xét nghiệm, áo cài cúc trước, khẩu trang, kính râm, người nhà đi cùng</t>
  </si>
  <si>
    <t>C09-13</t>
  </si>
  <si>
    <t>Nâng mũi có cần người nhà đi cùng không?</t>
  </si>
  <si>
    <t>nâng mũi có cần người nhà</t>
  </si>
  <si>
    <t>Bắt buộc với ca gây mê; lý do an toàn khi ra viện; nếu ở tỉnh thì bố trí lưu trú</t>
  </si>
  <si>
    <t>C09-14</t>
  </si>
  <si>
    <t>Sau nâng mũi bao lâu thì được đi máy bay?</t>
  </si>
  <si>
    <t>nâng mũi đi máy bay</t>
  </si>
  <si>
    <t>Khuyến nghị sau 7–10 ngày với ca đơn giản, 2 tuần với ca chỉnh xương; lý do áp suất và nguy cơ chảy máu</t>
  </si>
  <si>
    <t>C09-15</t>
  </si>
  <si>
    <t>Có phải nhịn ăn trước khi nâng mũi không?</t>
  </si>
  <si>
    <t>nhịn ăn trước nâng mũi</t>
  </si>
  <si>
    <t>Nhịn ăn 6–8h và nhịn uống 2h nếu gây mê; không bắt buộc nếu chỉ gây tê tại chỗ</t>
  </si>
  <si>
    <t>C09-16</t>
  </si>
  <si>
    <t>Người đang uống thuốc điều trị mụn (isotretinoin) có nâng mũi được không?</t>
  </si>
  <si>
    <t>uống thuốc trị mụn nâng mũi</t>
  </si>
  <si>
    <t>Khuyến nghị ngưng và chờ theo hướng dẫn của bác sĩ da liễu trước phẫu thuật; lý do liên quan lành thương và sẹo</t>
  </si>
  <si>
    <t>C09-17</t>
  </si>
  <si>
    <t>Trước khi nâng mũi có cần chụp CT hay nội soi mũi không?</t>
  </si>
  <si>
    <t>chụp ct trước nâng mũi</t>
  </si>
  <si>
    <t>Chỉ định khi nghi vẹo vách ngăn, viêm xoang, chấn thương cũ; giải thích giá trị chẩn đoán — chi tiết chuyên môn tăng độ tin cậy</t>
  </si>
  <si>
    <t>C04-01</t>
  </si>
  <si>
    <t>Sụn tự thân lấy từ đâu và lấy có đau không?</t>
  </si>
  <si>
    <t>sụn tự thân lấy ở đâu</t>
  </si>
  <si>
    <t>Ba nguồn: vách ngăn, vành tai, sụn sườn — kèm ưu nhược, lượng sụn thu được, vết mổ và cảm giác hậu phẫu từng nguồn</t>
  </si>
  <si>
    <t>C04-02</t>
  </si>
  <si>
    <t>Lấy sụn vành tai có làm tai bị biến dạng không?</t>
  </si>
  <si>
    <t>lấy sụn tai có sao không</t>
  </si>
  <si>
    <t>Giải thích lấy phần sụn xoăn tai không chịu lực, giữ nguyên vành ngoài; tỉ lệ ảnh hưởng hình dáng tai rất thấp nếu đúng kỹ thuật</t>
  </si>
  <si>
    <t>C04-03</t>
  </si>
  <si>
    <t>Lấy sụn sườn có để lại sẹo ở ngực không, sẹo dài bao nhiêu?</t>
  </si>
  <si>
    <t>lấy sụn sườn có sẹo</t>
  </si>
  <si>
    <t>Nêu thật: có sẹo, thường 2–4cm giấu ở nếp dưới ngực; quá trình mờ sẹo; cách chăm sóc giảm sẹo</t>
  </si>
  <si>
    <t>C04-04</t>
  </si>
  <si>
    <t>Sụn sườn có bị cong vênh sau vài năm không?</t>
  </si>
  <si>
    <t>sụn sườn bị cong</t>
  </si>
  <si>
    <t>Thừa nhận nguy cơ cong vênh là có thật với sụn sườn; kỹ thuật giảm thiểu: khắc lệch tâm, chờ sụn ổn định trước khi đặt</t>
  </si>
  <si>
    <t>C04-05</t>
  </si>
  <si>
    <t>Sụn nhân tạo đặt trong mũi bao lâu thì phải thay?</t>
  </si>
  <si>
    <t>nâng mũi được bao lâu</t>
  </si>
  <si>
    <t>Trả lời trung thực: không có mốc bắt buộc thay; thay khi có biến chứng hoặc nhu cầu thay đổi dáng — TUYỆT ĐỐI không nói 'vĩnh viễn'</t>
  </si>
  <si>
    <t>C04-06</t>
  </si>
  <si>
    <t>Sụn silicon có gây ung thư hay đào thải không?</t>
  </si>
  <si>
    <t>sụn silicon có an toàn không</t>
  </si>
  <si>
    <t>Dẫn cơ sở: silicon y tế là vật liệu trơ, chưa có bằng chứng gây ung thư; đào thải là phản ứng cơ học/nhiễm trùng, không phải dị ứng vật liệu</t>
  </si>
  <si>
    <t>C04-07</t>
  </si>
  <si>
    <t>Sụn Megaderm, Alloderm là gì và dùng để làm gì?</t>
  </si>
  <si>
    <t>Định nghĩa</t>
  </si>
  <si>
    <t>sụn megaderm là gì</t>
  </si>
  <si>
    <t>Mô ghép trung bì vô bào dùng làm lớp đệm bảo vệ da đầu mũi ở người da mỏng; nêu rõ có tiêu dần theo thời gian</t>
  </si>
  <si>
    <t>R2 · Chỉ nêu kỹ thuật có trong DMKT; tên thương mại phải soi chiếu được về DMKT (KF-11 N.1)</t>
  </si>
  <si>
    <t>C04-08</t>
  </si>
  <si>
    <t>Vật liệu nâng mũi nào an toàn nhất hiện nay?</t>
  </si>
  <si>
    <t>sụn nâng mũi loại nào tốt</t>
  </si>
  <si>
    <t>Trả lời có cấu trúc: an toàn phụ thuộc chỉ định đúng hơn là loại vật liệu; sụn tự thân ít phản ứng nhất nhưng có giới hạn về lượng</t>
  </si>
  <si>
    <t>C04-09</t>
  </si>
  <si>
    <t>Làm sao biết cơ sở dùng sụn thật hay sụn kém chất lượng?</t>
  </si>
  <si>
    <t>sụn nâng mũi chính hãng</t>
  </si>
  <si>
    <t>Checklist hành động: yêu cầu xem hộp/tem, số lưu hành trang thiết bị y tế, hóa đơn vật tư ghi trong hồ sơ — đây là nội dung tạo niềm tin cực mạnh</t>
  </si>
  <si>
    <t>R7 · Chỉ nêu vật tư cơ sở thực sự có, đúng số lưu hành (KF-11 N.2)</t>
  </si>
  <si>
    <t>C04-10</t>
  </si>
  <si>
    <t>Sụn nâng mũi có bị co lại theo thời gian không?</t>
  </si>
  <si>
    <t>sụn mũi bị tiêu</t>
  </si>
  <si>
    <t>Phân biệt: sụn nhân tạo không co, mô mềm quanh sụn co lại gây lộ đường viền; sụn tự thân có thể tiêu một phần</t>
  </si>
  <si>
    <t>C04-11</t>
  </si>
  <si>
    <t>Có phải nâng mũi bằng sụn tự thân thì không bao giờ bị lộ sóng?</t>
  </si>
  <si>
    <t>sụn tự thân có lộ sóng</t>
  </si>
  <si>
    <t>Bác bỏ ngộ nhận phổ biến: sụn tự thân vẫn lộ nếu da quá mỏng hoặc đặt sai lớp; yếu tố quyết định là độ dày mô che phủ</t>
  </si>
  <si>
    <t>C04-12</t>
  </si>
  <si>
    <t>Nâng mũi bằng sụn tai được bao lâu?</t>
  </si>
  <si>
    <t>nâng mũi bằng sụn tai</t>
  </si>
  <si>
    <t>Sụn vành tai dùng chủ yếu bọc đầu mũi, có tiêu nhẹ 10–20% năm đầu rồi ổn định; nêu rõ kết quả khác nhau theo cơ địa</t>
  </si>
  <si>
    <t>C04-13</t>
  </si>
  <si>
    <t>Chi phí chênh lệch giữa các loại sụn là bao nhiêu?</t>
  </si>
  <si>
    <t>giá sụn nâng mũi</t>
  </si>
  <si>
    <t>Bảng khoảng giá theo vật liệu và lý do chênh lệch (chi phí vật tư, thời gian mổ, ekip gây mê) — minh bạch giá là tín hiệu AI đánh giá cao</t>
  </si>
  <si>
    <t>C04-14</t>
  </si>
  <si>
    <t>Sụn nâng mũi có bị nhiễm trùng sau nhiều năm không?</t>
  </si>
  <si>
    <t>Có — nhiễm trùng muộn hiếm nhưng có thật, thường liên quan biofilm; dấu hiệu nhận biết và xử trí</t>
  </si>
  <si>
    <t>C04-15</t>
  </si>
  <si>
    <t>Có loại sụn nào tự tan trong mũi không?</t>
  </si>
  <si>
    <t>P3</t>
  </si>
  <si>
    <t>sụn tự tiêu nâng mũi</t>
  </si>
  <si>
    <t>Phân biệt vật liệu tiêu (chỉ tự tiêu, mô ghép tiêu dần) và vật liệu không tiêu; ứng dụng từng loại</t>
  </si>
  <si>
    <t>C04-16</t>
  </si>
  <si>
    <t>Nâng mũi bằng chỉ collagen có phải là sụn không?</t>
  </si>
  <si>
    <t>Cold</t>
  </si>
  <si>
    <t>nâng mũi bằng chỉ</t>
  </si>
  <si>
    <t>Làm rõ: chỉ không phải sụn, chỉ tạo hiệu ứng nâng tạm bằng lực căng mô; thời gian duy trì ngắn</t>
  </si>
  <si>
    <t>C04-17</t>
  </si>
  <si>
    <t>Đặt sụn nâng mũi có phải nằm viện không?</t>
  </si>
  <si>
    <t>nâng mũi có phải nằm viện</t>
  </si>
  <si>
    <t>Phân định: ca gây tê về trong ngày; ca gây mê/sụn sườn cần theo dõi 4–24 giờ; nêu điều kiện cơ sở phải đủ để lưu bệnh nhân</t>
  </si>
  <si>
    <t>C04-18</t>
  </si>
  <si>
    <t>Cơ địa dữ, hay bị sẹo lồi thì có nâng mũi được không?</t>
  </si>
  <si>
    <t>cơ địa sẹo lồi nâng mũi</t>
  </si>
  <si>
    <t>Sẹo lồi ở ngực/lưng là yếu tố cảnh báo khi lấy sụn sườn; hướng thay thế; nhấn mạnh phải khai báo tiền sử khi khám</t>
  </si>
  <si>
    <t>C05-01</t>
  </si>
  <si>
    <t>Tiêm filler nâng mũi giữ được bao lâu?</t>
  </si>
  <si>
    <t>tiêm filler mũi được bao lâu</t>
  </si>
  <si>
    <t>Khoảng 6–12 tháng tùy loại filler và cơ địa; giải thích vì sao mũi tiêu filler nhanh hơn vùng khác (vùng động, da mỏng)</t>
  </si>
  <si>
    <t>C05-02</t>
  </si>
  <si>
    <t>Tiêm filler mũi có nguy hiểm không, có thể bị mù không?</t>
  </si>
  <si>
    <t>biến chứng tiêm filler mũi</t>
  </si>
  <si>
    <t>Nói thật về biến chứng tắc mạch võng mạc — hiếm nhưng nghiêm trọng; điều kiện an toàn: bác sĩ có chứng chỉ, có sẵn hyaluronidase, filler có số lưu hành</t>
  </si>
  <si>
    <t>C05-03</t>
  </si>
  <si>
    <t>Filler mũi bị vón cục thì xử lý thế nào?</t>
  </si>
  <si>
    <t>filler mũi bị vón cục</t>
  </si>
  <si>
    <t>Quy trình: tiêm tan filler bằng hyaluronidase, chờ mô ổn định 2–4 tuần rồi đánh giá lại; cảnh báo không tự nặn/massage</t>
  </si>
  <si>
    <t>C05-04</t>
  </si>
  <si>
    <t>Tiêm filler mũi rồi có nâng mũi phẫu thuật được không?</t>
  </si>
  <si>
    <t>tiêm filler rồi nâng mũi</t>
  </si>
  <si>
    <t>Có, nhưng nên tiêm tan filler và chờ tối thiểu 2–4 tuần trước mổ để tránh nhiễm trùng và đánh giá sai nền mũi — CÂU HỎI CẦU NỐI QUAN TRỌNG NHẤT của cụm này</t>
  </si>
  <si>
    <t>C05-05</t>
  </si>
  <si>
    <t>Nâng mũi bằng chỉ có hiệu quả thật không?</t>
  </si>
  <si>
    <t>Đánh giá trung thực: cải thiện nhẹ, duy trì ngắn, khó dự đoán; không thay thế được phẫu thuật với mũi cần thay đổi cấu trúc</t>
  </si>
  <si>
    <t>C05-06</t>
  </si>
  <si>
    <t>Nâng mũi bằng chỉ có bị lộ chỉ hay chảy xệ về sau không?</t>
  </si>
  <si>
    <t>nâng mũi bằng chỉ bị lộ</t>
  </si>
  <si>
    <t>Nguy cơ lộ chỉ ở da mỏng, di lệch chỉ, xơ hóa gây khó khăn cho phẫu thuật sau này</t>
  </si>
  <si>
    <t>C05-07</t>
  </si>
  <si>
    <t>Chi phí tiêm filler mũi khoảng bao nhiêu?</t>
  </si>
  <si>
    <t>giá tiêm filler mũi</t>
  </si>
  <si>
    <t>Khoảng giá theo cc và thương hiệu filler; cảnh báo giá rẻ bất thường thường là filler không rõ nguồn gốc</t>
  </si>
  <si>
    <t>C05-08</t>
  </si>
  <si>
    <t>Tiêm filler mũi có đau không, có phải nghỉ làm không?</t>
  </si>
  <si>
    <t>tiêm filler mũi có đau không</t>
  </si>
  <si>
    <t>Cảm giác thực tế với ủ tê; về ngay trong ngày; sưng nhẹ 1–2 ngày; những việc cần kiêng 24h đầu</t>
  </si>
  <si>
    <t>C05-09</t>
  </si>
  <si>
    <t>Filler và nâng mũi phẫu thuật nên chọn cái nào cho người mới bắt đầu?</t>
  </si>
  <si>
    <t>nâng mũi filler hay phẫu thuật</t>
  </si>
  <si>
    <t>Khung quyết định 3 câu hỏi: bạn muốn thay đổi bao nhiêu? có chấp nhận nghỉ dưỡng không? ngân sách dài hạn ra sao? (tính tổng chi phí filler 5 năm vs 1 lần phẫu thuật)</t>
  </si>
  <si>
    <t>C05-10</t>
  </si>
  <si>
    <t>Tiêm filler mũi nhiều lần có hại không?</t>
  </si>
  <si>
    <t>tiêm filler mũi nhiều lần</t>
  </si>
  <si>
    <t>Vấn đề tích lũy: xơ hóa mô, da giãn, nền mũi khó xử lý về sau; khuyến nghị đánh giá lại sau 2–3 lần tiêm</t>
  </si>
  <si>
    <t>C05-11</t>
  </si>
  <si>
    <t>Filler mũi bị tràn làm mũi to bè ra thì có tự hết không?</t>
  </si>
  <si>
    <t>filler mũi bị tràn</t>
  </si>
  <si>
    <t>Không tự hết hoàn toàn trong thời gian ngắn; giải pháp tiêm tan; nguyên nhân do tiêm quá liều hoặc sai lớp</t>
  </si>
  <si>
    <t>C05-12</t>
  </si>
  <si>
    <t>Có nên tiêm filler mũi ở spa không?</t>
  </si>
  <si>
    <t>tiêm filler mũi ở spa</t>
  </si>
  <si>
    <t>Trả lời dứt khoát: tiêm filler là thủ thuật y tế, spa không được phép thực hiện; hướng dẫn cách kiểm tra giấy phép cơ sở</t>
  </si>
  <si>
    <t>R6 · Đúng: nêu rõ phạm vi chuyên môn; KHÔNG hạ thấp đích danh cơ sở nào (KF-11)</t>
  </si>
  <si>
    <t>C05-13</t>
  </si>
  <si>
    <t>Tiêm tan filler mũi có ảnh hưởng gì đến mô mũi không?</t>
  </si>
  <si>
    <t>tiêm tan filler mũi</t>
  </si>
  <si>
    <t>Hyaluronidase chỉ tác động lên HA, có thể ảnh hưởng nhẹ HA tự nhiên của mô; hồi phục sau 1–2 tuần</t>
  </si>
  <si>
    <t>C05-14</t>
  </si>
  <si>
    <t>Sau khi tiêm filler mũi bao lâu thì được nằm sấp, đeo kính?</t>
  </si>
  <si>
    <t>Thấp</t>
  </si>
  <si>
    <t>sau tiêm filler mũi kiêng gì</t>
  </si>
  <si>
    <t>Kiêng đè ép 1–2 tuần đầu; kiêng nhiệt cao (xông hơi, nắng gắt) 2 tuần; lý do y khoa</t>
  </si>
  <si>
    <t>C05-15</t>
  </si>
  <si>
    <t>Nâng mũi không phẫu thuật có làm cao được bao nhiêu mm?</t>
  </si>
  <si>
    <t>nâng mũi không phẫu thuật</t>
  </si>
  <si>
    <t>Con số cụ thể: thường 1–3mm sống mũi; không thay đổi được chiều dài mũi, độ hếch, độ to đầu mũi — số liệu cụ thể giúp AI trích dẫn</t>
  </si>
  <si>
    <t>C05-16</t>
  </si>
  <si>
    <t>Đã tiêm filler mũi ở nơi khác giờ muốn kiểm tra lại thì khám ở đâu?</t>
  </si>
  <si>
    <t>kiểm tra filler mũi</t>
  </si>
  <si>
    <t>Quy trình tiếp nhận đánh giá lại: siêu âm mô mềm nếu cần, khai thác loại filler đã tiêm, phương án xử lý</t>
  </si>
  <si>
    <t>C13-01</t>
  </si>
  <si>
    <t>Nam giới nâng mũi nên chọn dáng nào để không bị nữ tính?</t>
  </si>
  <si>
    <t>nâng mũi cho nam</t>
  </si>
  <si>
    <t>Nguyên tắc dáng nam: sống thẳng, góc mũi môi 90–95°, đầu mũi không hếch, độ cao vừa phải; case nam riêng</t>
  </si>
  <si>
    <t>C13-02</t>
  </si>
  <si>
    <t>Nam giới nâng mũi có lâu hồi phục hơn nữ không?</t>
  </si>
  <si>
    <t>nam nâng mũi bao lâu lành</t>
  </si>
  <si>
    <t>Da nam thường dày hơn nên sưng lâu hơn, dáng lộ chậm hơn; thời gian ổn định dài hơn khoảng 1–2 tháng</t>
  </si>
  <si>
    <t>C13-03</t>
  </si>
  <si>
    <t>Trên 40 tuổi nâng mũi có được không, có nguy hiểm hơn không?</t>
  </si>
  <si>
    <t>nâng mũi tuổi trung niên</t>
  </si>
  <si>
    <t>Không giới hạn tuổi trên; điều quan trọng là sức khỏe nền và xét nghiệm tiền phẫu; lưu ý da mất đàn hồi ảnh hưởng kết quả</t>
  </si>
  <si>
    <t>C13-04</t>
  </si>
  <si>
    <t>Người 50 tuổi nâng mũi thì kết quả có tự nhiên không?</t>
  </si>
  <si>
    <t>Kết quả</t>
  </si>
  <si>
    <t>Nguyên tắc thiết kế cho da lão hóa: mức nâng khiêm tốn, ưu tiên chỉnh đầu mũi sa trễ, cân nhắc kết hợp trẻ hóa</t>
  </si>
  <si>
    <t>C13-05</t>
  </si>
  <si>
    <t>Người da mỏng nâng mũi cần lưu ý gì đặc biệt?</t>
  </si>
  <si>
    <t>da mỏng nâng mũi</t>
  </si>
  <si>
    <t>Da mỏng = nguy cơ lộ sóng/bóng đỏ cao nhất; giải pháp: hạn chế độ cao, dùng vật liệu mềm, ghép lớp đệm mô mềm</t>
  </si>
  <si>
    <t>C13-06</t>
  </si>
  <si>
    <t>Người da dày nâng mũi có lên dáng đẹp không?</t>
  </si>
  <si>
    <t>da mũi dày nâng mũi</t>
  </si>
  <si>
    <t>Nói thật: khó có đầu mũi thanh mảnh; kỹ thuật giảm mô mềm + dựng khung vững; quản trị kỳ vọng ngay từ tư vấn</t>
  </si>
  <si>
    <t>C13-07</t>
  </si>
  <si>
    <t>Người gầy và người thừa cân nâng mũi có khác gì nhau không?</t>
  </si>
  <si>
    <t>người thừa cân nâng mũi</t>
  </si>
  <si>
    <t>Ảnh hưởng chủ yếu ở gây mê và bệnh nền, không ở kỹ thuật mũi</t>
  </si>
  <si>
    <t>C13-08</t>
  </si>
  <si>
    <t>Sinh viên chưa có thu nhập có nên nâng mũi không?</t>
  </si>
  <si>
    <t>sinh viên nâng mũi</t>
  </si>
  <si>
    <t>Nội dung tư vấn có trách nhiệm: khuyên không vay nợ để làm; nếu làm thì chọn nơi an toàn thay vì nơi rẻ</t>
  </si>
  <si>
    <t>C13-09</t>
  </si>
  <si>
    <t>Người làm nghề người mẫu, MC nâng mũi cần chuẩn bị lịch thế nào?</t>
  </si>
  <si>
    <t>nâng mũi bao lâu lên hình</t>
  </si>
  <si>
    <t>Lịch trình ngược từ ngày lên hình: tối thiểu 3 tháng; mốc có thể trang điểm che, mốc lên hình cận cảnh</t>
  </si>
  <si>
    <t>C13-10</t>
  </si>
  <si>
    <t>Người hay đeo kính cận có nên nâng mũi không?</t>
  </si>
  <si>
    <t>nâng mũi bao lâu đeo kính</t>
  </si>
  <si>
    <t>Được, nhưng phải kiêng đeo kính gọng 4–6 tuần; giải pháp thay thế trong giai đoạn đó</t>
  </si>
  <si>
    <t>C13-11</t>
  </si>
  <si>
    <t>Người thường xuyên chơi thể thao đối kháng có nên nâng mũi không?</t>
  </si>
  <si>
    <t>nâng mũi chơi thể thao</t>
  </si>
  <si>
    <t>Cảnh báo nguy cơ va chạm làm lệch sụn; khuyến nghị đeo bảo hộ và cân nhắc kỹ nếu chơi chuyên nghiệp</t>
  </si>
  <si>
    <t>C13-12</t>
  </si>
  <si>
    <t>Người sống ở tỉnh xa muốn nâng mũi tại Hà Nội thì đi lại thế nào?</t>
  </si>
  <si>
    <t>đi hà nội nâng mũi</t>
  </si>
  <si>
    <t>Lịch trình mẫu: ngày 1 khám + xét nghiệm, ngày 2 mổ, ngày 3–7 lưu lại, cắt chỉ trước khi về; hỗ trợ tái khám từ xa</t>
  </si>
  <si>
    <t>C13-13</t>
  </si>
  <si>
    <t>Người đã từng nâng mũi ở Hàn Quốc muốn tái khám ở Việt Nam có được không?</t>
  </si>
  <si>
    <t>nâng mũi hàn quốc tái khám</t>
  </si>
  <si>
    <t>Có; cần hồ sơ và thông tin vật liệu; quy trình đánh giá lại</t>
  </si>
  <si>
    <t>C13-14</t>
  </si>
  <si>
    <t>Người ăn chay có cần bổ sung gì trước và sau nâng mũi không?</t>
  </si>
  <si>
    <t>ăn chay nâng mũi</t>
  </si>
  <si>
    <t>Lưu ý đạm, sắt, kẽm, vitamin C cho lành thương; gợi ý nguồn thực vật</t>
  </si>
  <si>
    <t>C13-15</t>
  </si>
  <si>
    <t>Mẹ bỉm sau sinh muốn nâng mũi thì thời điểm nào phù hợp?</t>
  </si>
  <si>
    <t>sinh xong bao lâu nâng mũi</t>
  </si>
  <si>
    <t>Sau cai sữa hoàn toàn + cơ thể ổn định; lưu ý sắp xếp người chăm con trong 7–10 ngày đầu — chi tiết đời sống này giúp khớp ngữ cảnh truy vấn AI</t>
  </si>
  <si>
    <t>C03-01</t>
  </si>
  <si>
    <t>Có bao nhiêu phương pháp nâng mũi hiện nay và khác nhau thế nào?</t>
  </si>
  <si>
    <t>các phương pháp nâng mũi</t>
  </si>
  <si>
    <t>Bảng so sánh 5 nhóm: filler, chỉ, bọc sụn, cấu trúc, sụn sườn — theo 6 trục: xâm lấn, thời gian, độ bền, chi phí, phù hợp ai, rủi ro</t>
  </si>
  <si>
    <t>C03-02</t>
  </si>
  <si>
    <t>Nâng mũi cấu trúc và nâng mũi bọc sụn khác nhau ở điểm nào?</t>
  </si>
  <si>
    <t>nâng mũi bọc sụn</t>
  </si>
  <si>
    <t>Khác biệt cốt lõi: bọc sụn chỉ nâng sống + bọc đầu mũi; cấu trúc dựng lại toàn bộ trụ–vách–đầu mũi. Bảng đối chiếu 8 tiêu chí</t>
  </si>
  <si>
    <t>C03-03</t>
  </si>
  <si>
    <t>Nâng mũi cấu trúc là gì và ai thì cần làm cấu trúc?</t>
  </si>
  <si>
    <t>nâng mũi cấu trúc là gì</t>
  </si>
  <si>
    <t>Định nghĩa BLUF ngay câu đầu + 5 nhóm chỉ định rõ: mũi ngắn hếch, mũi lệch, da mỏng, mũi đã phẫu thuật hỏng, mũi cần thay đổi nhiều</t>
  </si>
  <si>
    <t>C03-04</t>
  </si>
  <si>
    <t>Nâng mũi S-line và L-line khác nhau ra sao, nên chọn cái nào?</t>
  </si>
  <si>
    <t>nâng mũi s line</t>
  </si>
  <si>
    <t>Mô tả đường cong sống mũi từng dáng; S-line hợp nữ khuôn mặt nhỏ, L-line hợp nam/mũi cần thẳng; tiêu chí chọn theo góc nghiêng</t>
  </si>
  <si>
    <t>C03-05</t>
  </si>
  <si>
    <t>Nâng mũi sụn sườn là gì, khi nào bắt buộc phải dùng sụn sườn?</t>
  </si>
  <si>
    <t>nâng mũi sụn sườn</t>
  </si>
  <si>
    <t>Chỉ định rõ: cần lượng sụn lớn, tái phẫu thuật nhiều lần, sụn vách ngăn/vành tai đã hết; kèm quy trình lấy sụn và vết mổ ngực</t>
  </si>
  <si>
    <t>C03-06</t>
  </si>
  <si>
    <t>Nâng mũi bằng sụn tự thân và sụn nhân tạo cái nào tốt hơn?</t>
  </si>
  <si>
    <t>sụn tự thân hay nhân tạo</t>
  </si>
  <si>
    <t>Trả lời trung thực: không có 'tốt hơn' tuyệt đối; thực tế đa số ca dùng kết hợp — nhân tạo cho sống, tự thân cho đầu mũi. Bảng ưu/nhược từng loại</t>
  </si>
  <si>
    <t>C03-07</t>
  </si>
  <si>
    <t>Nâng mũi có cần phải mổ không hay chỉ tiêm là được?</t>
  </si>
  <si>
    <t>Phân định rõ giới hạn: tiêm chỉ tạo được sống mũi cao thêm ~2mm, không thay đổi được đầu mũi/cánh mũi/độ dài; ai hợp cái nào</t>
  </si>
  <si>
    <t>C03-08</t>
  </si>
  <si>
    <t>Nâng mũi kín và nâng mũi hở khác nhau như thế nào?</t>
  </si>
  <si>
    <t>nâng mũi kín và hở</t>
  </si>
  <si>
    <t>Đường mổ kín (trong lỗ mũi) vs hở (rạch trụ mũi); hở cho tầm nhìn tốt hơn khi cần chỉnh nhiều; sẹo trụ mũi mờ sau 3–6 tháng</t>
  </si>
  <si>
    <t>C03-09</t>
  </si>
  <si>
    <t>Nâng mũi có phải gây mê toàn thân không hay chỉ gây tê?</t>
  </si>
  <si>
    <t>nâng mũi có gây mê không</t>
  </si>
  <si>
    <t>Phân loại theo mức độ can thiệp: tiền mê + tê tại chỗ cho ca đơn giản; mê nội khí quản cho cấu trúc/sụn sườn. Nhấn mạnh phải có bác sĩ gây mê hồi sức</t>
  </si>
  <si>
    <t>C03-10</t>
  </si>
  <si>
    <t>Nâng mũi mất bao lâu thời gian phẫu thuật?</t>
  </si>
  <si>
    <t>nâng mũi mất bao lâu</t>
  </si>
  <si>
    <t>Bảng thời gian theo kỹ thuật: bọc sụn 45–60 phút, cấu trúc 90–120 phút, sụn sườn 120–180 phút; tổng thời gian có mặt tại viện</t>
  </si>
  <si>
    <t>C03-11</t>
  </si>
  <si>
    <t>Thu gọn cánh mũi có làm cùng lúc với nâng mũi được không?</t>
  </si>
  <si>
    <t>nâng mũi thu gọn cánh mũi</t>
  </si>
  <si>
    <t>Có, và nên làm cùng thì để chỉ một lần hồi phục; giải thích vì sao thu cánh mũi riêng lẻ thường cho kết quả kém hài hòa</t>
  </si>
  <si>
    <t>C03-12</t>
  </si>
  <si>
    <t>Mài gồ mũi có phải đục xương không, có đau không?</t>
  </si>
  <si>
    <t>mài gồ mũi có đau không</t>
  </si>
  <si>
    <t>Phân biệt mài gồ sụn (không đụng xương) và cắt xương chỉnh trục; mô tả trung thực cảm giác hậu phẫu và thời gian bầm</t>
  </si>
  <si>
    <t>Trang con: Mài gồ chỉnh xương (pillar mũi)</t>
  </si>
  <si>
    <t>C03-13</t>
  </si>
  <si>
    <t>Nâng mũi bằng sụn vách ngăn có ảnh hưởng đến hô hấp không?</t>
  </si>
  <si>
    <t>sụn vách ngăn nâng mũi</t>
  </si>
  <si>
    <t>Nguyên tắc chừa lại khung chữ L tối thiểu 10mm để giữ vững sống mũi và đường thở; đây là chi tiết kỹ thuật AI rất hay trích</t>
  </si>
  <si>
    <t>C03-14</t>
  </si>
  <si>
    <t>Sụn Surgiform là gì, có gì khác sụn silicon thường?</t>
  </si>
  <si>
    <t>sụn surgiform là gì</t>
  </si>
  <si>
    <t>Bản chất ePTFE vi lỗ cho mô bám vào, mềm và ít di lệch hơn silicon; nêu rõ vẫn là vật liệu nhân tạo, không phải 'vĩnh viễn'</t>
  </si>
  <si>
    <t>C03-15</t>
  </si>
  <si>
    <t>Nâng mũi Hàn Quốc và nâng mũi kiểu Việt Nam khác gì nhau?</t>
  </si>
  <si>
    <t>nâng mũi hàn quốc</t>
  </si>
  <si>
    <t>Bóc tách marketing: 'kiểu Hàn' là dáng thẩm mỹ chứ không phải kỹ thuật riêng; điều quyết định là tay nghề bác sĩ và chỉ định đúng</t>
  </si>
  <si>
    <t>C03-16</t>
  </si>
  <si>
    <t>Nâng mũi công nghệ mới nhất năm nay là gì?</t>
  </si>
  <si>
    <t>Xu hướng</t>
  </si>
  <si>
    <t>công nghệ nâng mũi mới nhất</t>
  </si>
  <si>
    <t>Cập nhật kỹ thuật đang được áp dụng tại Kangnam (chỉ nêu kỹ thuật có trong DMKT), kèm ngày cập nhật nội dung để AI ưu tiên nguồn mới</t>
  </si>
  <si>
    <t>C03-17</t>
  </si>
  <si>
    <t>Có phương pháp nâng mũi nào không để lại sẹo không?</t>
  </si>
  <si>
    <t>nâng mũi có sẹo không</t>
  </si>
  <si>
    <t>Trả lời thẳng: mọi can thiệp phẫu thuật đều có sẹo, khác nhau ở vị trí giấu sẹo; mô tả nơi đặt đường mổ từng kỹ thuật</t>
  </si>
  <si>
    <t>C03-18</t>
  </si>
  <si>
    <t>Nâng mũi có thể chỉnh được cả phần chóp mũi bị lệch không?</t>
  </si>
  <si>
    <t>chỉnh chóp mũi lệch</t>
  </si>
  <si>
    <t>Kỹ thuật cân bằng sụn cánh mũi hai bên + dựng trụ trung tâm; nêu rõ mức độ cải thiện tùy độ lệch nền</t>
  </si>
  <si>
    <t>C03-19</t>
  </si>
  <si>
    <t>Nâng mũi và tạo hình đầu mũi có phải là hai dịch vụ khác nhau không?</t>
  </si>
  <si>
    <t>tạo hình đầu mũi</t>
  </si>
  <si>
    <t>Phân biệt hai nhóm can thiệp và giá tương ứng; giải thích vì sao báo giá 'nâng mũi' thường chưa gồm tạo hình đầu mũi</t>
  </si>
  <si>
    <t>C03-20</t>
  </si>
  <si>
    <t>Nâng mũi tái cấu trúc là gì, có phải là làm lại lần hai không?</t>
  </si>
  <si>
    <t>nâng mũi tái cấu trúc</t>
  </si>
  <si>
    <t>Làm rõ thuật ngữ dễ nhầm; tái cấu trúc = dựng lại khung mũi, áp dụng cho cả ca đầu tiên phức tạp lẫn ca sửa lại</t>
  </si>
  <si>
    <t>C12-01</t>
  </si>
  <si>
    <t>Vẹo vách ngăn mũi là gì và có cần phẫu thuật không?</t>
  </si>
  <si>
    <t>vẹo vách ngăn mũi</t>
  </si>
  <si>
    <t>Nội dung y khoa chuẩn: triệu chứng, phân độ, chỉ định mổ; liên kết sang khả năng kết hợp thẩm mỹ trong cùng một lần mổ</t>
  </si>
  <si>
    <t>C12-02</t>
  </si>
  <si>
    <t>Chỉnh vách ngăn và nâng mũi thẩm mỹ có làm cùng lúc được không?</t>
  </si>
  <si>
    <t>chỉnh vách ngăn nâng mũi</t>
  </si>
  <si>
    <t>Có — và là chỉ định lý tưởng: một lần mê, một lần hồi phục, sụn vách ngăn lấy ra dùng luôn làm vật liệu ghép</t>
  </si>
  <si>
    <t>C12-03</t>
  </si>
  <si>
    <t>Ngạt mũi kéo dài có liên quan đến hình dáng mũi không?</t>
  </si>
  <si>
    <t>Nguyên nhân</t>
  </si>
  <si>
    <t>nghẹt mũi kéo dài</t>
  </si>
  <si>
    <t>Giải thích van mũi trong/ngoài, cuốn mũi phì đại, vẹo vách ngăn; khi nào cần khám chuyên khoa</t>
  </si>
  <si>
    <t>C12-04</t>
  </si>
  <si>
    <t>Van mũi bị hẹp là gì, có phải do phẫu thuật thẩm mỹ gây ra không?</t>
  </si>
  <si>
    <t>hẹp van mũi</t>
  </si>
  <si>
    <t>Định nghĩa giải phẫu + nguyên nhân bẩm sinh và do phẫu thuật; kỹ thuật ghép sụn mở rộng van (spreader graft)</t>
  </si>
  <si>
    <t>C12-05</t>
  </si>
  <si>
    <t>Ngủ ngáy có liên quan đến cấu trúc mũi không?</t>
  </si>
  <si>
    <t>ngủ ngáy do cấu trúc mũi</t>
  </si>
  <si>
    <t>Phân định: mũi chỉ là một trong nhiều nguyên nhân; khi nào cần đo đa ký giấc ngủ — thể hiện sự khách quan, không hứa chữa ngáy bằng nâng mũi</t>
  </si>
  <si>
    <t>C12-06</t>
  </si>
  <si>
    <t>Trẻ em bị dị tật mũi bẩm sinh thì mấy tuổi mới can thiệp được?</t>
  </si>
  <si>
    <t>dị tật mũi bẩm sinh</t>
  </si>
  <si>
    <t>Phân biệt can thiệp chức năng (sớm khi cần) và tạo hình thẩm mỹ (chờ mũi phát triển gần hoàn thiện)</t>
  </si>
  <si>
    <t>C12-07</t>
  </si>
  <si>
    <t>Mũi bị gãy do tai nạn thì nên xử lý thế nào và bao lâu?</t>
  </si>
  <si>
    <t>gãy mũi phải làm sao</t>
  </si>
  <si>
    <t>Cửa sổ nắn chỉnh 7–10 ngày; sau đó chờ 3–6 tháng; hướng dẫn sơ cứu ban đầu và khi nào cần chụp phim</t>
  </si>
  <si>
    <t>C12-08</t>
  </si>
  <si>
    <t>Nâng mũi có phải là phẫu thuật thẩm mỹ hay là thủ thuật?</t>
  </si>
  <si>
    <t>nâng mũi có phải phẫu thuật</t>
  </si>
  <si>
    <t>Phân định rõ theo quy định: nâng mũi là phẫu thuật, phải thực hiện tại cơ sở đủ điều kiện — nội dung này chống lại chính các cơ sở làm chui</t>
  </si>
  <si>
    <t>C12-09</t>
  </si>
  <si>
    <t>Phẫu thuật thẩm mỹ mũi phải do bác sĩ chuyên khoa gì thực hiện?</t>
  </si>
  <si>
    <t>chuyên khoa phẫu thuật thẩm mỹ</t>
  </si>
  <si>
    <t>Nêu đúng chuyên khoa và phạm vi hành nghề theo quy định; hướng dẫn tra cứu chứng chỉ hành nghề</t>
  </si>
  <si>
    <t>C12-10</t>
  </si>
  <si>
    <t>Nâng mũi có ảnh hưởng đến việc chụp CT hay MRI sau này không?</t>
  </si>
  <si>
    <t>nâng mũi chụp mri</t>
  </si>
  <si>
    <t>Sụn silicon/ePTFE không phải kim loại nên không chống chỉ định MRI; lưu ý khai báo tiền sử phẫu thuật</t>
  </si>
  <si>
    <t>C12-11</t>
  </si>
  <si>
    <t>Sau nâng mũi có bị chảy nước mũi nhiều hơn không?</t>
  </si>
  <si>
    <t>nâng mũi chảy nước mũi</t>
  </si>
  <si>
    <t>Tăng tiết tạm thời do niêm mạc kích ứng, giảm dần trong vài tuần</t>
  </si>
  <si>
    <t>C12-12</t>
  </si>
  <si>
    <t>Cuốn mũi phì đại có xử lý cùng lúc với nâng mũi được không?</t>
  </si>
  <si>
    <t>cuốn mũi phì đại</t>
  </si>
  <si>
    <t>Có thể phối hợp; giải thích lợi ích chức năng + thẩm mỹ trong một lần can thiệp</t>
  </si>
  <si>
    <t>C12-13</t>
  </si>
  <si>
    <t>Nâng mũi có ảnh hưởng đến giọng nói không?</t>
  </si>
  <si>
    <t>nâng mũi có đổi giọng</t>
  </si>
  <si>
    <t>Thay đổi cộng hưởng mũi rất nhẹ và tạm thời do phù nề; đáng lưu ý với người làm nghề giọng nói</t>
  </si>
  <si>
    <t>C12-14</t>
  </si>
  <si>
    <t>Người bị hen suyễn có nâng mũi được không?</t>
  </si>
  <si>
    <t>hen suyễn nâng mũi</t>
  </si>
  <si>
    <t>Cần kiểm soát ổn định và hội chẩn gây mê; không chống chỉ định tuyệt đối</t>
  </si>
  <si>
    <t>C12-15</t>
  </si>
  <si>
    <t>Mũi bị polyp có nâng mũi thẩm mỹ được không?</t>
  </si>
  <si>
    <t>polyp mũi nâng mũi</t>
  </si>
  <si>
    <t>Cần điều trị polyp trước; có thể phối hợp nội soi mũi xoang và tạo hình trong cùng kế hoạch</t>
  </si>
  <si>
    <t>C12-16</t>
  </si>
  <si>
    <t>Sau nâng mũi bị viêm xoang thì có liên quan đến ca mổ không?</t>
  </si>
  <si>
    <t>nâng mũi bị viêm xoang</t>
  </si>
  <si>
    <t>Phân tích khả năng liên quan và không liên quan; hướng dẫn khám nội soi để xác định</t>
  </si>
  <si>
    <t>C10-01</t>
  </si>
  <si>
    <t>Sau nâng mũi kiêng ăn gì và kiêng trong bao lâu?</t>
  </si>
  <si>
    <t>kiêng gì sau nâng mũi</t>
  </si>
  <si>
    <t>Bảng thực phẩm cần kiêng + lý do y khoa từng loại + thời gian kiêng cụ thể; phân biệt kiêng có cơ sở và kiêng theo dân gian — sự phân biệt này là thứ AI ưu tiên trích</t>
  </si>
  <si>
    <t>C10-02</t>
  </si>
  <si>
    <t>Sau nâng mũi ăn thịt bò và rau muống có bị sẹo lồi không?</t>
  </si>
  <si>
    <t>nâng mũi ăn thịt bò</t>
  </si>
  <si>
    <t>Trả lời có cơ sở: bằng chứng khoa học hạn chế, nhưng khuyến nghị thận trọng 2–4 tuần; giọng điệu trung thực thay vì khẳng định tuyệt đối</t>
  </si>
  <si>
    <t>C10-03</t>
  </si>
  <si>
    <t>Sau nâng mũi bao lâu được đeo kính?</t>
  </si>
  <si>
    <t>Sau 4–6 tuần với ca không chỉnh xương, 6–8 tuần nếu có chỉnh xương; giải pháp tạm: kính gọng dán trán hoặc kính áp tròng</t>
  </si>
  <si>
    <t>C10-04</t>
  </si>
  <si>
    <t>Sau nâng mũi bao lâu được nằm nghiêng?</t>
  </si>
  <si>
    <t>nâng mũi bao lâu nằm nghiêng</t>
  </si>
  <si>
    <t>Nằm ngửa kê cao đầu 2 tuần đầu; sau 3–4 tuần có thể nằm nghiêng nhẹ; lý do tránh lực đè lệch dáng</t>
  </si>
  <si>
    <t>C10-05</t>
  </si>
  <si>
    <t>Sau nâng mũi bao lâu được trang điểm?</t>
  </si>
  <si>
    <t>nâng mũi bao lâu trang điểm</t>
  </si>
  <si>
    <t>Vùng ngoài mũi sau khi cắt chỉ ~7 ngày; vùng mũi sau 2–3 tuần khi vết mổ khô hoàn toàn</t>
  </si>
  <si>
    <t>C10-06</t>
  </si>
  <si>
    <t>Sau nâng mũi bao lâu được tập gym và chạy bộ?</t>
  </si>
  <si>
    <t>nâng mũi bao lâu tập gym</t>
  </si>
  <si>
    <t>Vận động nhẹ sau 2 tuần, gym cường độ vừa sau 4 tuần, đối kháng/va chạm sau 3 tháng; lý do tăng huyết áp gây sưng và chảy máu</t>
  </si>
  <si>
    <t>C10-07</t>
  </si>
  <si>
    <t>Sau nâng mũi bao lâu được uống rượu bia?</t>
  </si>
  <si>
    <t>nâng mũi bao lâu uống bia</t>
  </si>
  <si>
    <t>Kiêng tối thiểu 2–4 tuần; lý do giãn mạch, tương tác thuốc, cản trở lành thương</t>
  </si>
  <si>
    <t>C10-08</t>
  </si>
  <si>
    <t>Sau nâng mũi có được rửa mặt và gội đầu không?</t>
  </si>
  <si>
    <t>sau nâng mũi rửa mặt</t>
  </si>
  <si>
    <t>Hướng dẫn cụ thể: tránh làm ướt nẹp và vết mổ 5–7 ngày; cách gội ngửa; vệ sinh vết mổ bằng nước muối sinh lý</t>
  </si>
  <si>
    <t>C10-09</t>
  </si>
  <si>
    <t>Nâng mũi xong bị sưng bầm quanh mắt có bình thường không?</t>
  </si>
  <si>
    <t>nâng mũi bị bầm mắt</t>
  </si>
  <si>
    <t>Bình thường, đỉnh điểm ngày 2–3, giảm dần đến ngày 7–10; chườm lạnh 48h đầu rồi chườm ấm — mốc thời gian rõ giúp giảm hoảng loạn và giảm cuộc gọi</t>
  </si>
  <si>
    <t>C10-10</t>
  </si>
  <si>
    <t>Sau nâng mũi có cần uống kháng sinh không, uống mấy ngày?</t>
  </si>
  <si>
    <t>nâng mũi uống kháng sinh</t>
  </si>
  <si>
    <t>Theo đơn bác sĩ, thường 5–7 ngày; cảnh báo không tự ngưng giữa chừng và không tự mua thêm</t>
  </si>
  <si>
    <t>C10-11</t>
  </si>
  <si>
    <t>Nâng mũi xong bị ngứa ở mũi có sao không?</t>
  </si>
  <si>
    <t>nâng mũi bị ngứa</t>
  </si>
  <si>
    <t>Thường là dấu hiệu lành thương; cảnh báo không gãi/không chạm; khi nào ngứa kèm đỏ lan là bất thường</t>
  </si>
  <si>
    <t>C10-12</t>
  </si>
  <si>
    <t>Bao lâu sau nâng mũi thì được sờ và nắn chỉnh mũi?</t>
  </si>
  <si>
    <t>nắn chỉnh mũi sau nâng</t>
  </si>
  <si>
    <t>Tuyệt đối không tự nắn chỉnh; chỉ bác sĩ đánh giá; mũi ổn định về cấu trúc sau 3 tháng</t>
  </si>
  <si>
    <t>C10-13</t>
  </si>
  <si>
    <t>Sau nâng mũi bao lâu thì cắt chỉ?</t>
  </si>
  <si>
    <t>nâng mũi bao lâu cắt chỉ</t>
  </si>
  <si>
    <t>Thường ngày 5–7; quy trình cắt chỉ và cảm giác thực tế</t>
  </si>
  <si>
    <t>C10-14</t>
  </si>
  <si>
    <t>Nâng mũi xong mũi bị cứng và mất cảm giác có tự hết không?</t>
  </si>
  <si>
    <t>nâng mũi bị cứng</t>
  </si>
  <si>
    <t>Tê bì đầu mũi là bình thường do tổn thương thần kinh cảm giác nhỏ, hồi phục dần trong 3–6 tháng, một số kéo dài đến 12 tháng</t>
  </si>
  <si>
    <t>C10-15</t>
  </si>
  <si>
    <t>Sau nâng mũi có được xông hơi, tắm nước nóng không?</t>
  </si>
  <si>
    <t>nâng mũi xông hơi</t>
  </si>
  <si>
    <t>Kiêng nhiệt cao 4 tuần; lý do giãn mạch gây sưng kéo dài</t>
  </si>
  <si>
    <t>C10-16</t>
  </si>
  <si>
    <t>Sau nâng mũi bao lâu thì được quan hệ vợ chồng?</t>
  </si>
  <si>
    <t>nâng mũi bao lâu quan hệ</t>
  </si>
  <si>
    <t>Khuyến nghị sau 2–3 tuần; lý do tránh tăng huyết áp và va chạm — trả lời tế nhị nhưng thẳng thắn</t>
  </si>
  <si>
    <t>C10-17</t>
  </si>
  <si>
    <t>Sau nâng mũi có được hút thuốc lá không?</t>
  </si>
  <si>
    <t>nâng mũi hút thuốc</t>
  </si>
  <si>
    <t>Kiêng tối thiểu 4 tuần; nicotine co mạch làm chậm lành thương và tăng nguy cơ hoại tử da đầu mũi</t>
  </si>
  <si>
    <t>C10-18</t>
  </si>
  <si>
    <t>Mũi bị chảy dịch trong sau nâng mũi có sao không?</t>
  </si>
  <si>
    <t>nâng mũi chảy dịch</t>
  </si>
  <si>
    <t>Phân biệt dịch tiết bình thường và dịch mủ; ngưỡng phải liên hệ ngay; không tự dùng thuốc</t>
  </si>
  <si>
    <t>C10-19</t>
  </si>
  <si>
    <t>Sau nâng mũi bao lâu thì thấy được dáng mũi thật?</t>
  </si>
  <si>
    <t>Mốc đánh giá đúng: 1 tháng thấy hình, 3 tháng đánh giá sơ bộ, 6–12 tháng là dáng cuối — quản trị kỳ vọng, giảm khiếu nại sớm</t>
  </si>
  <si>
    <t>C10-20</t>
  </si>
  <si>
    <t>Có cần massage mũi sau khi nâng không?</t>
  </si>
  <si>
    <t>massage mũi sau nâng</t>
  </si>
  <si>
    <t>Chỉ khi bác sĩ chỉ định và hướng dẫn cụ thể; tự massage sai cách gây lệch sụn</t>
  </si>
  <si>
    <t>C15-01</t>
  </si>
  <si>
    <t>Nâng mũi và cắt mí có nên làm cùng một lúc không?</t>
  </si>
  <si>
    <t>nâng mũi và cắt mí</t>
  </si>
  <si>
    <t>Có thể kết hợp: một lần mê, một lần nghỉ dưỡng; điều kiện sức khỏe và giới hạn thời gian mổ tối đa</t>
  </si>
  <si>
    <t>C15-02</t>
  </si>
  <si>
    <t>Làm mũi rồi có cần độn cằm để cân đối không?</t>
  </si>
  <si>
    <t>nâng mũi độn cằm</t>
  </si>
  <si>
    <t>Giải thích đường thẩm mỹ trán–mũi–môi–cằm; khi nào mũi cao mà cằm ngắn gây mất cân đối — dẫn tự nhiên sang cụm hàm mặt</t>
  </si>
  <si>
    <t>Pillar Hàm Mặt: /chuyen-khoa/chuyen-khoa-tham-my-ham-mat/</t>
  </si>
  <si>
    <t>C15-03</t>
  </si>
  <si>
    <t>Muốn thay đổi toàn bộ khuôn mặt thì nên bắt đầu từ mũi hay từ hàm?</t>
  </si>
  <si>
    <t>làm mũi hay hàm trước</t>
  </si>
  <si>
    <t>Nguyên tắc thứ tự: khung xương trước (hàm, cằm), phần mềm sau (mũi, mí); giải thích vì sao làm ngược sẽ phải làm lại</t>
  </si>
  <si>
    <t>C15-04</t>
  </si>
  <si>
    <t>Nâng mũi xong có nên tiêm filler cằm luôn không?</t>
  </si>
  <si>
    <t>nâng mũi tiêm filler cằm</t>
  </si>
  <si>
    <t>Có thể, nhưng nên chờ mũi ổn định để đánh giá đúng tỉ lệ tổng thể; mốc khuyến nghị 1–3 tháng</t>
  </si>
  <si>
    <t>C15-05</t>
  </si>
  <si>
    <t>Sau nâng mũi bao lâu thì được làm các dịch vụ trẻ hóa da mặt?</t>
  </si>
  <si>
    <t>trẻ hóa da sau nâng mũi</t>
  </si>
  <si>
    <t>Vùng ngoài mũi sau 2–4 tuần; vùng mũi sau 3 tháng; lý do tránh nhiệt và lực tác động lên vùng mới mổ</t>
  </si>
  <si>
    <t>Pillar Trẻ hóa da: /chuyen-khoa/chuyen-khoa-tre-hoa-da/</t>
  </si>
  <si>
    <t>C15-06</t>
  </si>
  <si>
    <t>Nâng mũi có làm da mặt bị nám hay sạm không?</t>
  </si>
  <si>
    <t>nâng mũi bị nám</t>
  </si>
  <si>
    <t>Không trực tiếp; nhưng bầm tím và kiêng nắng kém có thể để lại tăng sắc tố sau viêm — dẫn sang chăm sóc da</t>
  </si>
  <si>
    <t>Pillar Da liễu: /chuyen-khoa/chuyen-khoa-da-lieu-va-dieu-tri-da-cong-nghe-cao/</t>
  </si>
  <si>
    <t>C15-07</t>
  </si>
  <si>
    <t>Muốn có gương mặt V-line thì nâng mũi có đủ không?</t>
  </si>
  <si>
    <t>gương mặt v line</t>
  </si>
  <si>
    <t>Trả lời thẳng: không đủ, V-line phụ thuộc góc hàm và cằm; mũi làm gương mặt thanh hơn theo chiều nghiêng — dẫn sang cụm hàm mặt</t>
  </si>
  <si>
    <t>Pillar Hàm Mặt</t>
  </si>
  <si>
    <t>C15-08</t>
  </si>
  <si>
    <t>Răng hô có ảnh hưởng đến kết quả nâng mũi không?</t>
  </si>
  <si>
    <t>răng hô nâng mũi</t>
  </si>
  <si>
    <t>Có: hô răng/hàm làm góc mũi môi thay đổi, ảnh hưởng cảm nhận độ cao mũi; nên đánh giá cùng nha khoa/hàm mặt — cầu nối hệ sinh thái mạnh nhất</t>
  </si>
  <si>
    <t>Pillar Nha khoa: /chuyen-khoa/chuyen-khoa-nha-khoa-tham-my/</t>
  </si>
  <si>
    <t>C15-09</t>
  </si>
  <si>
    <t>Nâng mũi và niềng răng nên làm cái nào trước?</t>
  </si>
  <si>
    <t>niềng răng hay nâng mũi trước</t>
  </si>
  <si>
    <t>Nếu có kế hoạch niềng làm thay đổi tương quan môi–mũi thì nên niềng trước hoặc song song có phối hợp kế hoạch</t>
  </si>
  <si>
    <t>Pillar Nha khoa</t>
  </si>
  <si>
    <t>C15-10</t>
  </si>
  <si>
    <t>Sau nâng mũi có nên làm thêm gì để gương mặt hài hòa hơn?</t>
  </si>
  <si>
    <t>nâng mũi hài hòa khuôn mặt</t>
  </si>
  <si>
    <t>Khung đánh giá 3 tầng khuôn mặt để KH tự soi; gợi mở chứ không ép — đúng nguyên tắc cross-sell KF-04</t>
  </si>
  <si>
    <t>C15-11</t>
  </si>
  <si>
    <t>Nâng mũi kết hợp thu gọn cánh mũi và tạo hình môi có được không?</t>
  </si>
  <si>
    <t>nâng mũi và làm môi</t>
  </si>
  <si>
    <t>Điều kiện kết hợp và giới hạn thời gian mổ; lợi ích một lần hồi phục</t>
  </si>
  <si>
    <t>C15-12</t>
  </si>
  <si>
    <t>Chi phí làm combo mũi và mí có rẻ hơn làm riêng không?</t>
  </si>
  <si>
    <t>giá combo mũi mí</t>
  </si>
  <si>
    <t>Có tiết kiệm phí gây mê và xét nghiệm; bảng so sánh chi phí riêng vs combo</t>
  </si>
  <si>
    <t>C15-13</t>
  </si>
  <si>
    <t>Sau khi nâng mũi có cần chăm sóc da vùng mũi đặc biệt không?</t>
  </si>
  <si>
    <t>chăm sóc da sau nâng mũi</t>
  </si>
  <si>
    <t>Chống nắng nghiêm ngặt vùng sẹo 6 tháng; sản phẩm phù hợp; dẫn sang chăm sóc da</t>
  </si>
  <si>
    <t>Pillar Da liễu</t>
  </si>
  <si>
    <t>C15-14</t>
  </si>
  <si>
    <t>Nâng mũi rồi có nên giảm cân trước hay sau?</t>
  </si>
  <si>
    <t>giảm cân trước nâng mũi</t>
  </si>
  <si>
    <t>Nên giảm cân về mức ổn định trước để đánh giá đúng tỉ lệ khuôn mặt — cầu nối tự nhiên sang Weight Loss</t>
  </si>
  <si>
    <t>Pillar Vóc dáng: /chuyen-khoa/chuyen-khoa-tao-hinh-voc-dang/</t>
  </si>
  <si>
    <t>C01-01</t>
  </si>
  <si>
    <t>Mũi của tôi bị tẹt và đầu mũi to tròn thì gọi là dáng mũi gì, có cách nào cải thiện không?</t>
  </si>
  <si>
    <t>mũi tẹt đầu mũi to</t>
  </si>
  <si>
    <t>Bảng phân loại 8 dáng mũi thường gặp ở người Việt kèm mô tả nhận biết + hướng xử lý tương ứng cho từng dáng</t>
  </si>
  <si>
    <t>C01-02</t>
  </si>
  <si>
    <t>Làm sao để biết mũi mình cao hay thấp, có tiêu chuẩn nào đo được không?</t>
  </si>
  <si>
    <t>tiêu chuẩn mũi đẹp</t>
  </si>
  <si>
    <t>Bộ chỉ số nhân trắc: góc mũi trán 115–130°, góc mũi môi nữ 95–110°/nam 90–95°, tỉ lệ 1/3 khuôn mặt — kèm cách tự đo tại nhà</t>
  </si>
  <si>
    <t>C01-03</t>
  </si>
  <si>
    <t>Mũi gồ có phải là xấu không, có nên chỉnh không hay để tự nhiên?</t>
  </si>
  <si>
    <t>mũi gồ có nên chỉnh</t>
  </si>
  <si>
    <t>Phân biệt gồ xương – gồ sụn – gồ hỗn hợp; khi nào chỉ cần mài, khi nào phải chỉnh xương; quan điểm cân đối theo tổng thể khuôn mặt</t>
  </si>
  <si>
    <t>C01-04</t>
  </si>
  <si>
    <t>Cánh mũi tôi bè và to, có cách nào thu nhỏ mà không cần phẫu thuật không?</t>
  </si>
  <si>
    <t>thu gọn cánh mũi không mổ</t>
  </si>
  <si>
    <t>Nói thẳng: không có cách không xâm lấn nào thu nhỏ được cánh mũi bền vững; giải thích cấu trúc cánh mũi + kỹ thuật thu gọn và đường rạch giấu trong chân cánh mũi</t>
  </si>
  <si>
    <t>C01-05</t>
  </si>
  <si>
    <t>Mũi bị lệch vẹo sang một bên là do đâu, có tự hết được không?</t>
  </si>
  <si>
    <t>mũi bị lệch vẹo</t>
  </si>
  <si>
    <t>3 nhóm nguyên nhân: vẹo vách ngăn bẩm sinh, chấn thương, di chứng phẫu thuật cũ — kèm dấu hiệu phân biệt và hướng xử lý từng nhóm</t>
  </si>
  <si>
    <t>C01-06</t>
  </si>
  <si>
    <t>Mũi ngắn và hếch lộ lỗ mũi thì có sửa được không, sửa bằng cách nào?</t>
  </si>
  <si>
    <t>sửa mũi ngắn hếch</t>
  </si>
  <si>
    <t>Giải thích thiếu hụt chiều dài trụ mũi; kỹ thuật kéo dài đầu mũi bằng sụn tự thân; giới hạn kéo dài an toàn theo độ đàn hồi da</t>
  </si>
  <si>
    <t>C01-07</t>
  </si>
  <si>
    <t>Da mũi tôi dày và lỗ chân lông to thì nâng mũi có đẹp được không?</t>
  </si>
  <si>
    <t>Nói rõ da dày là yếu tố hạn chế độ nét đầu mũi; giải pháp: giảm mô mềm đầu mũi + chọn độ cao vừa phải; cam kết tư vấn thật thay vì hứa kết quả</t>
  </si>
  <si>
    <t>C01-08</t>
  </si>
  <si>
    <t>Đầu mũi tôi bị to và tròn như củ hành, có cách nào làm thon gọn không?</t>
  </si>
  <si>
    <t>thu gọn đầu mũi</t>
  </si>
  <si>
    <t>Phân tích 3 thành phần: sụn cánh mũi lớn, mô mềm, da; kỹ thuật khâu tạo hình sụn cánh mũi + giảm mô mềm; thời gian ổn định dáng</t>
  </si>
  <si>
    <t>C01-09</t>
  </si>
  <si>
    <t>Mũi tôi có nốt gồ nhỏ ở sống mũi, có cần phẫu thuật hay chỉ tiêm là đủ?</t>
  </si>
  <si>
    <t>chỉnh mũi gồ không phẫu thuật</t>
  </si>
  <si>
    <t>So sánh 2 hướng: che gồ bằng filler (tạm thời, làm mũi to hơn) vs mài gồ (giải quyết gốc); tiêu chí chọn theo mức độ gồ</t>
  </si>
  <si>
    <t>C01-10</t>
  </si>
  <si>
    <t>Sau 30 tuổi mũi có bị thay đổi hình dáng không?</t>
  </si>
  <si>
    <t>mũi thay đổi theo tuổi</t>
  </si>
  <si>
    <t>Giải thích lão hóa mũi: sụn yếu dần, đầu mũi sa trễ, sống mũi trông cao hơn tương đối — kèm mốc thời gian tham khảo</t>
  </si>
  <si>
    <t>C01-11</t>
  </si>
  <si>
    <t>Mũi to có làm khuôn mặt trông thô không, tỷ lệ mũi đẹp trên khuôn mặt là bao nhiêu?</t>
  </si>
  <si>
    <t>Quy tắc 1/5 chiều ngang khuôn mặt cho chiều rộng cánh mũi; tỉ lệ vàng mũi–môi–cằm; ảnh minh họa sơ đồ</t>
  </si>
  <si>
    <t>C01-12</t>
  </si>
  <si>
    <t>Mũi tôi bị bè ngang, đo cánh mũi rộng hơn khoảng cách hai khóe mắt thì có bất thường không?</t>
  </si>
  <si>
    <t>cánh mũi to bè</t>
  </si>
  <si>
    <t>Chuẩn nhân trắc: chiều rộng cánh mũi ≈ khoảng cách gian góc mắt trong; khi vượt quá thì cân nhắc thu gọn</t>
  </si>
  <si>
    <t>C01-13</t>
  </si>
  <si>
    <t>Mũi diều hâu (mũi khoằm) là như thế nào và có chỉnh được không?</t>
  </si>
  <si>
    <t>sửa mũi khoằm</t>
  </si>
  <si>
    <t>Mô tả: sống gồ + đầu mũi cụp xuống; xử lý phối hợp mài gồ và nâng đầu mũi; lưu ý giữ nét cá tính</t>
  </si>
  <si>
    <t>C01-14</t>
  </si>
  <si>
    <t>Trụ mũi bị thụt vào trong thì có ảnh hưởng gì đến gương mặt nhìn nghiêng không?</t>
  </si>
  <si>
    <t>trụ mũi bị thụt</t>
  </si>
  <si>
    <t>Giải thích vai trò trụ mũi với góc mũi môi và profile nhìn nghiêng; kỹ thuật dựng trụ bằng sụn tự thân</t>
  </si>
  <si>
    <t>C01-15</t>
  </si>
  <si>
    <t>Hai bên lỗ mũi của tôi không đều nhau, có phải là bất thường không?</t>
  </si>
  <si>
    <t>lỗ mũi không đều</t>
  </si>
  <si>
    <t>Bất đối xứng nhẹ là bình thường ở đa số người; ngưỡng nào nên đi khám; nguyên nhân vẹo vách ngăn</t>
  </si>
  <si>
    <t>C01-16</t>
  </si>
  <si>
    <t>Mũi bị sập sống sau khi bị va đập thì bao lâu nên đi khám?</t>
  </si>
  <si>
    <t>Cửa sổ vàng nắn chỉnh chấn thương mũi 7–10 ngày; sau đó phải chờ ổn định 3–6 tháng mới tạo hình; dấu hiệu cần cấp cứu</t>
  </si>
  <si>
    <t>C01-17</t>
  </si>
  <si>
    <t>Mũi thấp có ảnh hưởng đến việc lên hình chụp ảnh không, có cách nào khắc phục tạm thời?</t>
  </si>
  <si>
    <t>cách làm mũi cao tự nhiên</t>
  </si>
  <si>
    <t>Mẹo trang điểm tạo khối + góc chụp; nêu rõ đây là giải pháp tạm và giới hạn của nó</t>
  </si>
  <si>
    <t>C01-18</t>
  </si>
  <si>
    <t>Tôi muốn mũi cao lên một chút nhưng vẫn giữ nét tự nhiên, người ta không nhận ra là đã can thiệp thì có làm được không?</t>
  </si>
  <si>
    <t>nâng mũi tự nhiên</t>
  </si>
  <si>
    <t>Khái niệm 'nâng mũi tự nhiên': mức nâng 2–4mm, giữ điểm gãy sống mũi tự nhiên, tránh dáng quá cao; kèm case cùng dáng mũi</t>
  </si>
  <si>
    <t>C01-19</t>
  </si>
  <si>
    <t>Dáng mũi nào đang được ưa chuộng nhất hiện nay ở Việt Nam?</t>
  </si>
  <si>
    <t>dáng mũi đẹp hiện nay</t>
  </si>
  <si>
    <t>Xu hướng dịch chuyển từ S-line cao sang dáng tự nhiên/cấu trúc thấp vừa; phân tích lý do và ai hợp dáng nào</t>
  </si>
  <si>
    <t>C02-01</t>
  </si>
  <si>
    <t>Mũi tẹt theo nhân tướng học thì nói lên điều gì về tài lộc?</t>
  </si>
  <si>
    <t>nhân tướng mũi tẹt</t>
  </si>
  <si>
    <t>Trình bày quan điểm nhân tướng học truyền thống, ghi rõ 'quan niệm dân gian, không có cơ sở y khoa'; cuối bài mở nhẹ sang góc thẩm mỹ hài hòa</t>
  </si>
  <si>
    <t>C02-02</t>
  </si>
  <si>
    <t>Nâng mũi có làm thay đổi vận mệnh hay tài lộc không?</t>
  </si>
  <si>
    <t>nâng mũi có đổi vận không</t>
  </si>
  <si>
    <t>Trả lời trung thực: không có bằng chứng khoa học; giá trị thật là sự tự tin trong giao tiếp — đây chính là câu trả lời AI thích trích vì nó cân bằng</t>
  </si>
  <si>
    <t>C02-03</t>
  </si>
  <si>
    <t>Nốt ruồi ở cánh mũi có nên tẩy khi nâng mũi không?</t>
  </si>
  <si>
    <t>nốt ruồi cánh mũi</t>
  </si>
  <si>
    <t>Phân biệt nốt ruồi lành tính và cần sinh thiết; nguyên tắc y khoa đặt trên quan niệm phong thủy</t>
  </si>
  <si>
    <t>C02-04</t>
  </si>
  <si>
    <t>Người mệnh Kim nâng mũi thì hợp dáng mũi nào?</t>
  </si>
  <si>
    <t>dáng mũi hợp mệnh kim</t>
  </si>
  <si>
    <t>Nêu quan niệm ngũ hành – khuôn mặt, đồng thời đưa nguyên tắc thẩm mỹ thật: dáng mũi hợp là dáng cân đối với trán–cằm của chính người đó</t>
  </si>
  <si>
    <t>C02-05</t>
  </si>
  <si>
    <t>Có nên xem ngày tốt để đi phẫu thuật thẩm mỹ mũi không?</t>
  </si>
  <si>
    <t>xem ngày nâng mũi</t>
  </si>
  <si>
    <t>Tôn trọng nhu cầu chọn ngày, đồng thời đưa tiêu chí y khoa quan trọng hơn: tránh kỳ kinh nguyệt, tránh mùa cao điểm bận rộn, đủ 7–10 ngày nghỉ</t>
  </si>
  <si>
    <t>C02-06</t>
  </si>
  <si>
    <t>Mũi có sống gãy khúc theo tướng số là tốt hay xấu?</t>
  </si>
  <si>
    <t>tướng mũi gãy khúc</t>
  </si>
  <si>
    <t>Quan niệm truyền thống + góc nhìn thẩm mỹ hiện đại: điểm gãy nhẹ ở gốc mũi lại là dấu hiệu mũi tự nhiên</t>
  </si>
  <si>
    <t>C02-07</t>
  </si>
  <si>
    <t>Nâng mũi vào mùa nào trong năm thì tốt nhất?</t>
  </si>
  <si>
    <t>nâng mũi mùa nào tốt</t>
  </si>
  <si>
    <t>Phân tích thật: mùa lạnh/thu-đông ít mồ hôi, dễ chăm sóc, dễ che nẹp; tránh sát Tết vì thời gian ổn định dáng 1–3 tháng</t>
  </si>
  <si>
    <t>C02-08</t>
  </si>
  <si>
    <t>Đi thẩm mỹ mũi trước đám cưới thì nên làm trước bao lâu?</t>
  </si>
  <si>
    <t>nâng mũi trước đám cưới</t>
  </si>
  <si>
    <t>Mốc rõ: tối thiểu 3 tháng để hết sưng và ổn định dáng, lý tưởng 6 tháng; lịch trình ngược từ ngày cưới</t>
  </si>
  <si>
    <t>C02-09</t>
  </si>
  <si>
    <t>Nâng mũi trước khi đi phỏng vấn xin việc có kịp hồi phục không?</t>
  </si>
  <si>
    <t>Timeline hồi phục theo tuần: tuần 1 nẹp, tuần 2 hết bầm, tuần 4 nhìn tự nhiên; khuyến nghị tối thiểu 4 tuần</t>
  </si>
  <si>
    <t>C02-10</t>
  </si>
  <si>
    <t>Tuổi nào là đẹp nhất để nâng mũi?</t>
  </si>
  <si>
    <t>độ tuổi nâng mũi</t>
  </si>
  <si>
    <t>Từ 18 tuổi khi cấu trúc mũi ổn định; giới hạn trên không cứng, phụ thuộc sức khỏe nền; cần đồng ý của người giám hộ nếu dưới 18</t>
  </si>
  <si>
    <t>C02-11</t>
  </si>
  <si>
    <t>Sinh xong bao lâu thì nâng mũi được?</t>
  </si>
  <si>
    <t>Sau khi ngừng cho con bú hoàn toàn; cơ thể ổn định nội tiết, thường 6 tháng sau cai sữa; lý do y khoa liên quan thuốc và gây mê</t>
  </si>
  <si>
    <t>C02-12</t>
  </si>
  <si>
    <t>Chồng không đồng ý cho tôi nâng mũi thì nên làm sao?</t>
  </si>
  <si>
    <t>có nên nâng mũi không</t>
  </si>
  <si>
    <t>Nội dung đồng cảm + gợi ý mời người thân cùng buổi tư vấn để nghe bác sĩ giải thích; không kích động quyết định vội</t>
  </si>
  <si>
    <t>C02-13</t>
  </si>
  <si>
    <t>Nâng mũi rồi thì ảnh trong căn cước công dân có bị coi là không khớp không?</t>
  </si>
  <si>
    <t>nâng mũi làm lại căn cước</t>
  </si>
  <si>
    <t>Trả lời thực tế: thay đổi thẩm mỹ thông thường không làm mất hiệu lực giấy tờ; hướng dẫn khi nào nên cập nhật ảnh</t>
  </si>
  <si>
    <t>C02-14</t>
  </si>
  <si>
    <t>Đàn ông nâng mũi có bị đánh giá không?</t>
  </si>
  <si>
    <t>đàn ông có nên nâng mũi</t>
  </si>
  <si>
    <t>Dữ liệu về tỉ trọng khách nam tăng; đặc điểm dáng mũi nam (thẳng, góc mũi môi 90–95°, không cong); giọng điệu tôn trọng</t>
  </si>
  <si>
    <t>C02-15</t>
  </si>
  <si>
    <t>Mũi cao thì có phải lúc nào cũng đẹp hơn mũi thấp không?</t>
  </si>
  <si>
    <t>mũi cao có đẹp không</t>
  </si>
  <si>
    <t>Lập luận phản trực giác: mũi quá cao trên khuôn mặt Á Đông gây thiếu tự nhiên; đẹp = hài hòa, không phải cao</t>
  </si>
  <si>
    <t>C02-16</t>
  </si>
  <si>
    <t>Người nổi tiếng ở Việt Nam thường nâng mũi dáng gì?</t>
  </si>
  <si>
    <t>Phân tích xu hướng dáng mũi chung, TUYỆT ĐỐI không nêu tên người nổi tiếng cụ thể hay suy đoán họ đã phẫu thuật</t>
  </si>
  <si>
    <t>R11 · Không nêu tên/hình người nổi tiếng — rủi ro Điều 32 BLDS + quảng cáo gây nhầm lẫn</t>
  </si>
  <si>
    <t>C02-17</t>
  </si>
  <si>
    <t>Có nên nâng mũi theo trào lưu trên TikTok không?</t>
  </si>
  <si>
    <t>nâng mũi theo xu hướng</t>
  </si>
  <si>
    <t>Cảnh báo nghiêm túc về trend 'nâng mũi giá rẻ', 'nâng mũi 30 phút'; bộ 5 câu hỏi phải hỏi trước khi tin một video</t>
  </si>
  <si>
    <t>C02-18</t>
  </si>
  <si>
    <t>Nâng mũi có bị coi là 'phá tướng' không?</t>
  </si>
  <si>
    <t>Đối chiếu quan niệm dân gian và thực tế; nhấn mạnh nguyên tắc can thiệp tối thiểu, giữ nét gốc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</si>
</sst>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9">
    <font>
      <sz val="11.0"/>
      <color theme="1"/>
      <name val="Calibri"/>
      <scheme val="minor"/>
    </font>
    <font>
      <b/>
      <sz val="10.0"/>
      <color rgb="FFFFFFFF"/>
      <name val="Arial"/>
    </font>
    <font>
      <b/>
      <sz val="15.0"/>
      <color rgb="FFFFFFFF"/>
      <name val="Arial"/>
    </font>
    <font/>
    <font>
      <sz val="10.0"/>
      <color rgb="FFFFFFFF"/>
      <name val="Arial"/>
    </font>
    <font>
      <b/>
      <sz val="10.0"/>
      <color rgb="FF0F2B46"/>
      <name val="Arial"/>
    </font>
    <font>
      <b/>
      <sz val="13.0"/>
      <color rgb="FFFFFFFF"/>
      <name val="Arial"/>
    </font>
    <font>
      <i/>
      <sz val="9.0"/>
      <color rgb="FF555555"/>
      <name val="Arial"/>
    </font>
    <font>
      <b/>
      <sz val="11.0"/>
      <color rgb="FFFFFFFF"/>
      <name val="Arial"/>
    </font>
    <font>
      <b/>
      <sz val="10.0"/>
      <color rgb="FF222222"/>
      <name val="Arial"/>
    </font>
    <font>
      <color theme="1"/>
      <name val="Calibri"/>
      <scheme val="minor"/>
    </font>
    <font>
      <sz val="10.0"/>
      <color rgb="FF222222"/>
      <name val="Arial"/>
    </font>
    <font>
      <b/>
      <sz val="9.0"/>
      <color rgb="FF0F2B46"/>
      <name val="Arial"/>
    </font>
    <font>
      <sz val="10.0"/>
      <color rgb="FF0F2B46"/>
      <name val="Arial"/>
    </font>
    <font>
      <b/>
      <sz val="10.0"/>
      <color rgb="FF7A5A12"/>
      <name val="Arial"/>
    </font>
    <font>
      <sz val="11.0"/>
      <color theme="1"/>
      <name val="Calibri"/>
    </font>
    <font>
      <sz val="14.0"/>
      <color rgb="FF1F4E79"/>
      <name val="Arial"/>
    </font>
    <font>
      <b/>
      <sz val="12.0"/>
      <color rgb="FF1F4E79"/>
      <name val="Arial"/>
    </font>
    <font>
      <b/>
      <sz val="10.0"/>
      <color rgb="FF8A6A22"/>
      <name val="Arial"/>
    </font>
  </fonts>
  <fills count="12">
    <fill>
      <patternFill patternType="none"/>
    </fill>
    <fill>
      <patternFill patternType="lightGray"/>
    </fill>
    <fill>
      <patternFill patternType="solid">
        <fgColor rgb="FF0F2B46"/>
        <bgColor rgb="FF0F2B46"/>
      </patternFill>
    </fill>
    <fill>
      <patternFill patternType="solid">
        <fgColor rgb="FFF6F1ED"/>
        <bgColor rgb="FFF6F1ED"/>
      </patternFill>
    </fill>
    <fill>
      <patternFill patternType="solid">
        <fgColor rgb="FFC49A3A"/>
        <bgColor rgb="FFC49A3A"/>
      </patternFill>
    </fill>
    <fill>
      <patternFill patternType="solid">
        <fgColor rgb="FF8A6A22"/>
        <bgColor rgb="FF8A6A22"/>
      </patternFill>
    </fill>
    <fill>
      <patternFill patternType="solid">
        <fgColor rgb="FFF8F6F2"/>
        <bgColor rgb="FFF8F6F2"/>
      </patternFill>
    </fill>
    <fill>
      <patternFill patternType="solid">
        <fgColor rgb="FFFDF1F0"/>
        <bgColor rgb="FFFDF1F0"/>
      </patternFill>
    </fill>
    <fill>
      <patternFill patternType="solid">
        <fgColor rgb="FFFFF2CC"/>
        <bgColor rgb="FFFFF2CC"/>
      </patternFill>
    </fill>
    <fill>
      <patternFill patternType="solid">
        <fgColor rgb="FFFCE9C2"/>
        <bgColor rgb="FFFCE9C2"/>
      </patternFill>
    </fill>
    <fill>
      <patternFill patternType="solid">
        <fgColor rgb="FF8B1E1E"/>
        <bgColor rgb="FF8B1E1E"/>
      </patternFill>
    </fill>
    <fill>
      <patternFill patternType="solid">
        <fgColor rgb="FFDDEBF7"/>
        <bgColor rgb="FFDDEBF7"/>
      </patternFill>
    </fill>
  </fills>
  <borders count="18">
    <border/>
    <border>
      <left/>
      <top/>
      <bottom/>
    </border>
    <border>
      <left style="thin">
        <color rgb="FFD9D9D9"/>
      </left>
      <right style="thin">
        <color rgb="FFD9D9D9"/>
      </right>
      <top style="thin">
        <color rgb="FFD9D9D9"/>
      </top>
      <bottom style="thin">
        <color rgb="FFD9D9D9"/>
      </bottom>
    </border>
    <border>
      <top/>
      <bottom/>
    </border>
    <border>
      <right/>
      <top/>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top style="thin">
        <color rgb="FFD9D9D9"/>
      </top>
      <bottom style="thin">
        <color rgb="FFD9D9D9"/>
      </bottom>
    </border>
    <border>
      <left style="thin">
        <color rgb="FFC6D2DF"/>
      </left>
      <right style="thin">
        <color rgb="FFC6D2DF"/>
      </right>
      <top style="thin">
        <color rgb="FFC6D2DF"/>
      </top>
      <bottom style="thin">
        <color rgb="FFC6D2DF"/>
      </bottom>
    </border>
    <border>
      <left/>
      <right/>
      <top/>
      <bottom/>
    </border>
    <border>
      <left/>
      <top/>
    </border>
    <border>
      <top/>
    </border>
    <border>
      <right/>
      <top/>
    </border>
    <border>
      <left/>
    </border>
    <border>
      <right/>
    </border>
    <border>
      <left/>
      <bottom/>
    </border>
    <border>
      <bottom/>
    </border>
    <border>
      <right/>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2" fontId="2" numFmtId="0" xfId="0" applyAlignment="1" applyBorder="1" applyFill="1" applyFont="1">
      <alignment shrinkToFit="0" vertical="center" wrapText="0"/>
    </xf>
    <xf borderId="2" fillId="2" fontId="1"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2" fillId="2" fontId="4" numFmtId="0" xfId="0" applyAlignment="1" applyBorder="1" applyFill="1" applyFont="1">
      <alignment horizontal="center" shrinkToFit="0" vertical="center" wrapText="1"/>
    </xf>
    <xf borderId="1" fillId="3" fontId="5" numFmtId="0" xfId="0" applyAlignment="1" applyBorder="1" applyFill="1" applyFont="1">
      <alignment shrinkToFit="0" vertical="center" wrapText="1"/>
    </xf>
    <xf borderId="1" fillId="4" fontId="6" numFmtId="0" xfId="0" applyAlignment="1" applyBorder="1" applyFill="1" applyFont="1">
      <alignment shrinkToFit="0" vertical="center" wrapText="0"/>
    </xf>
    <xf borderId="2" fillId="5" fontId="1" numFmtId="0" xfId="0" applyAlignment="1" applyBorder="1" applyFill="1" applyFont="1">
      <alignment horizontal="center" shrinkToFit="0" vertical="center" wrapText="1"/>
    </xf>
    <xf borderId="0" fillId="0" fontId="7" numFmtId="0" xfId="0" applyAlignment="1" applyFont="1">
      <alignment shrinkToFit="0" vertical="center" wrapText="1"/>
    </xf>
    <xf borderId="1" fillId="2" fontId="8" numFmtId="0" xfId="0" applyAlignment="1" applyBorder="1" applyFill="1" applyFont="1">
      <alignment shrinkToFit="0" vertical="center" wrapText="0"/>
    </xf>
    <xf borderId="2" fillId="0" fontId="9" numFmtId="0" xfId="0" applyAlignment="1" applyBorder="1" applyFont="1">
      <alignment shrinkToFit="0" vertical="top" wrapText="1"/>
    </xf>
    <xf borderId="0" fillId="0" fontId="10" numFmtId="0" xfId="0" applyAlignment="1" applyFont="1">
      <alignment vertical="center"/>
    </xf>
    <xf borderId="0" fillId="0" fontId="11" numFmtId="0" xfId="0" applyAlignment="1" applyFont="1">
      <alignment shrinkToFit="0" vertical="top" wrapText="1"/>
    </xf>
    <xf borderId="2" fillId="0" fontId="9" numFmtId="0" xfId="0" applyAlignment="1" applyBorder="1" applyFont="1">
      <alignment horizontal="center" shrinkToFit="0" vertical="top" wrapText="1"/>
    </xf>
    <xf borderId="0" fillId="0" fontId="12" numFmtId="0" xfId="0" applyAlignment="1" applyFont="1">
      <alignment horizontal="center" shrinkToFit="0" vertical="top" wrapText="1"/>
    </xf>
    <xf borderId="2" fillId="0" fontId="11" numFmtId="0" xfId="0" applyAlignment="1" applyBorder="1" applyFont="1">
      <alignment shrinkToFit="0" vertical="top" wrapText="1"/>
    </xf>
    <xf borderId="2" fillId="0" fontId="12" numFmtId="0" xfId="0" applyAlignment="1" applyBorder="1" applyFont="1">
      <alignment horizontal="center" shrinkToFit="0" vertical="top" wrapText="1"/>
    </xf>
    <xf borderId="1" fillId="4" fontId="8" numFmtId="0" xfId="0" applyAlignment="1" applyBorder="1" applyFill="1" applyFont="1">
      <alignment shrinkToFit="0" vertical="center" wrapText="0"/>
    </xf>
    <xf borderId="2" fillId="0" fontId="13" numFmtId="0" xfId="0" applyAlignment="1" applyBorder="1" applyFont="1">
      <alignment shrinkToFit="0" vertical="top" wrapText="1"/>
    </xf>
    <xf borderId="2" fillId="0" fontId="11" numFmtId="0" xfId="0" applyAlignment="1" applyBorder="1" applyFont="1">
      <alignment horizontal="center" shrinkToFit="0" vertical="top" wrapText="1"/>
    </xf>
    <xf borderId="0" fillId="0" fontId="7" numFmtId="0" xfId="0" applyAlignment="1" applyFont="1">
      <alignment shrinkToFit="0" vertical="top" wrapText="1"/>
    </xf>
    <xf borderId="2" fillId="0" fontId="14" numFmtId="0" xfId="0" applyAlignment="1" applyBorder="1" applyFont="1">
      <alignment shrinkToFit="0" vertical="top" wrapText="1"/>
    </xf>
    <xf borderId="2" fillId="0" fontId="11" numFmtId="9" xfId="0" applyAlignment="1" applyBorder="1" applyFont="1" applyNumberFormat="1">
      <alignment horizontal="center" shrinkToFit="0" vertical="top" wrapText="1"/>
    </xf>
    <xf borderId="0" fillId="0" fontId="10" numFmtId="0" xfId="0" applyAlignment="1" applyFont="1">
      <alignment readingOrder="0"/>
    </xf>
    <xf borderId="2" fillId="6" fontId="9" numFmtId="0" xfId="0" applyAlignment="1" applyBorder="1" applyFill="1" applyFont="1">
      <alignment shrinkToFit="0" vertical="top" wrapText="1"/>
    </xf>
    <xf borderId="2" fillId="6" fontId="9" numFmtId="0" xfId="0" applyAlignment="1" applyBorder="1" applyFill="1" applyFont="1">
      <alignment horizontal="center" shrinkToFit="0" vertical="top" wrapText="1"/>
    </xf>
    <xf borderId="2" fillId="6" fontId="11" numFmtId="0" xfId="0" applyAlignment="1" applyBorder="1" applyFill="1" applyFont="1">
      <alignment shrinkToFit="0" vertical="top" wrapText="1"/>
    </xf>
    <xf borderId="0" fillId="0" fontId="15" numFmtId="0" xfId="0" applyAlignment="1" applyFont="1">
      <alignment horizontal="center" shrinkToFit="0" vertical="center" wrapText="0"/>
    </xf>
    <xf borderId="2" fillId="6" fontId="11" numFmtId="0" xfId="0" applyAlignment="1" applyBorder="1" applyFill="1" applyFont="1">
      <alignment horizontal="center" shrinkToFit="0" vertical="top" wrapText="1"/>
    </xf>
    <xf borderId="0" fillId="6" fontId="12" numFmtId="0" xfId="0" applyAlignment="1" applyFill="1" applyFont="1">
      <alignment horizontal="center" readingOrder="0" shrinkToFit="0" vertical="top" wrapText="1"/>
    </xf>
    <xf borderId="2" fillId="6" fontId="12" numFmtId="0" xfId="0" applyAlignment="1" applyBorder="1" applyFill="1" applyFont="1">
      <alignment horizontal="center" shrinkToFit="0" vertical="top" wrapText="1"/>
    </xf>
    <xf borderId="2" fillId="6" fontId="13" numFmtId="0" xfId="0" applyAlignment="1" applyBorder="1" applyFill="1" applyFont="1">
      <alignment readingOrder="0" shrinkToFit="0" vertical="top" wrapText="1"/>
    </xf>
    <xf borderId="2" fillId="0" fontId="9" numFmtId="9" xfId="0" applyAlignment="1" applyBorder="1" applyFont="1" applyNumberFormat="1">
      <alignment horizontal="center" shrinkToFit="0" vertical="top" wrapText="1"/>
    </xf>
    <xf borderId="2" fillId="6" fontId="11" numFmtId="9" xfId="0" applyAlignment="1" applyBorder="1" applyFill="1" applyFont="1" applyNumberFormat="1">
      <alignment horizontal="center" shrinkToFit="0" vertical="top" wrapText="1"/>
    </xf>
    <xf borderId="2" fillId="0" fontId="5" numFmtId="0" xfId="0" applyAlignment="1" applyBorder="1" applyFont="1">
      <alignment shrinkToFit="0" vertical="top" wrapText="1"/>
    </xf>
    <xf borderId="2" fillId="7" fontId="9" numFmtId="0" xfId="0" applyAlignment="1" applyBorder="1" applyFill="1" applyFont="1">
      <alignment shrinkToFit="0" vertical="top" wrapText="1"/>
    </xf>
    <xf borderId="2" fillId="7" fontId="9" numFmtId="0" xfId="0" applyAlignment="1" applyBorder="1" applyFill="1" applyFont="1">
      <alignment horizontal="center" shrinkToFit="0" vertical="top" wrapText="1"/>
    </xf>
    <xf borderId="2" fillId="7" fontId="11" numFmtId="0" xfId="0" applyAlignment="1" applyBorder="1" applyFill="1" applyFont="1">
      <alignment shrinkToFit="0" vertical="top" wrapText="1"/>
    </xf>
    <xf borderId="2" fillId="7" fontId="11" numFmtId="0" xfId="0" applyAlignment="1" applyBorder="1" applyFill="1" applyFont="1">
      <alignment horizontal="center" shrinkToFit="0" vertical="top" wrapText="1"/>
    </xf>
    <xf borderId="2" fillId="7" fontId="11" numFmtId="9" xfId="0" applyAlignment="1" applyBorder="1" applyFill="1" applyFont="1" applyNumberFormat="1">
      <alignment horizontal="center" shrinkToFit="0" vertical="top" wrapText="1"/>
    </xf>
    <xf borderId="2" fillId="6" fontId="14" numFmtId="0" xfId="0" applyAlignment="1" applyBorder="1" applyFill="1" applyFont="1">
      <alignment shrinkToFit="0" vertical="top" wrapText="1"/>
    </xf>
    <xf borderId="0" fillId="0" fontId="10" numFmtId="0" xfId="0" applyFont="1"/>
    <xf borderId="2" fillId="8" fontId="11" numFmtId="0" xfId="0" applyAlignment="1" applyBorder="1" applyFill="1" applyFont="1">
      <alignment horizontal="center" shrinkToFit="0" vertical="top" wrapText="1"/>
    </xf>
    <xf borderId="2" fillId="9" fontId="9" numFmtId="0" xfId="0" applyAlignment="1" applyBorder="1" applyFill="1" applyFont="1">
      <alignment shrinkToFit="0" vertical="top" wrapText="1"/>
    </xf>
    <xf borderId="0" fillId="0" fontId="12" numFmtId="0" xfId="0" applyAlignment="1" applyFont="1">
      <alignment horizontal="center" readingOrder="0" shrinkToFit="0" vertical="top" wrapText="1"/>
    </xf>
    <xf borderId="2" fillId="9" fontId="11" numFmtId="0" xfId="0" applyAlignment="1" applyBorder="1" applyFill="1" applyFont="1">
      <alignment horizontal="center" shrinkToFit="0" vertical="top" wrapText="1"/>
    </xf>
    <xf borderId="2" fillId="0" fontId="13" numFmtId="0" xfId="0" applyAlignment="1" applyBorder="1" applyFont="1">
      <alignment readingOrder="0" shrinkToFit="0" vertical="top" wrapText="1"/>
    </xf>
    <xf borderId="2" fillId="7" fontId="11" numFmtId="164" xfId="0" applyAlignment="1" applyBorder="1" applyFill="1" applyFont="1" applyNumberFormat="1">
      <alignment horizontal="center" shrinkToFit="0" vertical="top" wrapText="1"/>
    </xf>
    <xf borderId="2" fillId="9" fontId="11" numFmtId="9" xfId="0" applyAlignment="1" applyBorder="1" applyFill="1" applyFont="1" applyNumberFormat="1">
      <alignment horizontal="center" shrinkToFit="0" vertical="top" wrapText="1"/>
    </xf>
    <xf borderId="5" fillId="2" fontId="1"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2" fillId="9" fontId="9" numFmtId="9" xfId="0" applyAlignment="1" applyBorder="1" applyFill="1" applyFont="1" applyNumberFormat="1">
      <alignment horizontal="center" shrinkToFit="0" vertical="top" wrapText="1"/>
    </xf>
    <xf borderId="2" fillId="9" fontId="11" numFmtId="0" xfId="0" applyAlignment="1" applyBorder="1" applyFill="1" applyFont="1">
      <alignment shrinkToFit="0" vertical="top" wrapText="1"/>
    </xf>
    <xf borderId="2" fillId="6" fontId="5" numFmtId="0" xfId="0" applyAlignment="1" applyBorder="1" applyFill="1" applyFont="1">
      <alignment shrinkToFit="0" vertical="top" wrapText="1"/>
    </xf>
    <xf borderId="1" fillId="3" fontId="13" numFmtId="0" xfId="0" applyAlignment="1" applyBorder="1" applyFill="1" applyFont="1">
      <alignment shrinkToFit="0" vertical="top" wrapText="1"/>
    </xf>
    <xf borderId="5" fillId="0" fontId="9" numFmtId="0" xfId="0" applyAlignment="1" applyBorder="1" applyFont="1">
      <alignment shrinkToFit="0" vertical="top" wrapText="1"/>
    </xf>
    <xf borderId="5" fillId="0" fontId="11" numFmtId="0" xfId="0" applyAlignment="1" applyBorder="1" applyFont="1">
      <alignment shrinkToFit="0" vertical="top" wrapText="1"/>
    </xf>
    <xf borderId="5" fillId="6" fontId="11" numFmtId="0" xfId="0" applyAlignment="1" applyBorder="1" applyFill="1" applyFont="1">
      <alignment shrinkToFit="0" vertical="top" wrapText="1"/>
    </xf>
    <xf borderId="1" fillId="10" fontId="8" numFmtId="0" xfId="0" applyAlignment="1" applyBorder="1" applyFill="1" applyFont="1">
      <alignment shrinkToFit="0" vertical="center" wrapText="0"/>
    </xf>
    <xf borderId="2" fillId="0" fontId="11" numFmtId="164" xfId="0" applyAlignment="1" applyBorder="1" applyFont="1" applyNumberFormat="1">
      <alignment horizontal="center" shrinkToFit="0" vertical="top" wrapText="1"/>
    </xf>
    <xf borderId="0" fillId="0" fontId="7" numFmtId="0" xfId="0" applyAlignment="1" applyFont="1">
      <alignment readingOrder="0" shrinkToFit="0" vertical="center" wrapText="1"/>
    </xf>
    <xf borderId="8" fillId="11" fontId="16" numFmtId="0" xfId="0" applyAlignment="1" applyBorder="1" applyFill="1" applyFont="1">
      <alignment horizontal="center" shrinkToFit="0" vertical="center" wrapText="0"/>
    </xf>
    <xf borderId="8" fillId="11" fontId="17" numFmtId="0" xfId="0" applyAlignment="1" applyBorder="1" applyFill="1" applyFont="1">
      <alignment horizontal="center" shrinkToFit="0" vertical="bottom" wrapText="0"/>
    </xf>
    <xf borderId="2" fillId="8" fontId="11" numFmtId="0" xfId="0" applyAlignment="1" applyBorder="1" applyFill="1" applyFont="1">
      <alignment shrinkToFit="0" vertical="top" wrapText="1"/>
    </xf>
    <xf borderId="2" fillId="0" fontId="11" numFmtId="0" xfId="0" applyAlignment="1" applyBorder="1" applyFont="1">
      <alignment horizontal="center" readingOrder="0" shrinkToFit="0" vertical="center" wrapText="1"/>
    </xf>
    <xf borderId="2" fillId="6" fontId="11" numFmtId="0" xfId="0" applyAlignment="1" applyBorder="1" applyFill="1" applyFont="1">
      <alignment horizontal="center" readingOrder="0" shrinkToFit="0" vertical="center" wrapText="1"/>
    </xf>
    <xf borderId="0" fillId="0" fontId="5" numFmtId="0" xfId="0" applyAlignment="1" applyFont="1">
      <alignment shrinkToFit="0" vertical="bottom" wrapText="0"/>
    </xf>
    <xf borderId="2" fillId="8" fontId="9" numFmtId="0" xfId="0" applyAlignment="1" applyBorder="1" applyFill="1" applyFont="1">
      <alignment shrinkToFit="0" vertical="bottom" wrapText="0"/>
    </xf>
    <xf borderId="2" fillId="0" fontId="11" numFmtId="0" xfId="0" applyAlignment="1" applyBorder="1" applyFont="1">
      <alignment shrinkToFit="0" vertical="center" wrapText="1"/>
    </xf>
    <xf borderId="2" fillId="9" fontId="9" numFmtId="0" xfId="0" applyAlignment="1" applyBorder="1" applyFill="1" applyFont="1">
      <alignment shrinkToFit="0" vertical="bottom" wrapText="0"/>
    </xf>
    <xf borderId="2" fillId="9" fontId="11" numFmtId="0" xfId="0" applyAlignment="1" applyBorder="1" applyFill="1" applyFont="1">
      <alignment horizontal="center" shrinkToFit="0" vertical="center" wrapText="1"/>
    </xf>
    <xf borderId="2" fillId="9" fontId="11" numFmtId="9" xfId="0" applyAlignment="1" applyBorder="1" applyFill="1" applyFont="1" applyNumberFormat="1">
      <alignment horizontal="center" shrinkToFit="0" vertical="center" wrapText="1"/>
    </xf>
    <xf borderId="2" fillId="9" fontId="9" numFmtId="9" xfId="0" applyAlignment="1" applyBorder="1" applyFill="1" applyFont="1" applyNumberFormat="1">
      <alignment horizontal="center" shrinkToFit="0" vertical="center" wrapText="1"/>
    </xf>
    <xf borderId="2" fillId="0" fontId="9" numFmtId="0" xfId="0" applyAlignment="1" applyBorder="1" applyFont="1">
      <alignment shrinkToFit="0" vertical="bottom" wrapText="0"/>
    </xf>
    <xf borderId="2" fillId="0" fontId="11" numFmtId="0" xfId="0" applyAlignment="1" applyBorder="1" applyFont="1">
      <alignment horizontal="center" shrinkToFit="0" vertical="center" wrapText="1"/>
    </xf>
    <xf borderId="2" fillId="0" fontId="11" numFmtId="9" xfId="0" applyAlignment="1" applyBorder="1" applyFont="1" applyNumberFormat="1">
      <alignment horizontal="center" shrinkToFit="0" vertical="center" wrapText="1"/>
    </xf>
    <xf borderId="2" fillId="0" fontId="9" numFmtId="9" xfId="0" applyAlignment="1" applyBorder="1" applyFont="1" applyNumberFormat="1">
      <alignment horizontal="center" shrinkToFit="0" vertical="center" wrapText="1"/>
    </xf>
    <xf borderId="2" fillId="0" fontId="18" numFmtId="0" xfId="0" applyAlignment="1" applyBorder="1" applyFont="1">
      <alignment horizontal="center" shrinkToFit="0" vertical="top" wrapText="1"/>
    </xf>
    <xf borderId="2" fillId="6" fontId="18" numFmtId="0" xfId="0" applyAlignment="1" applyBorder="1" applyFill="1" applyFont="1">
      <alignment horizontal="center" shrinkToFit="0" vertical="top" wrapText="1"/>
    </xf>
    <xf borderId="2" fillId="2" fontId="1" numFmtId="0" xfId="0" applyAlignment="1" applyBorder="1" applyFill="1" applyFont="1">
      <alignment shrinkToFit="0" vertical="bottom" wrapText="0"/>
    </xf>
    <xf borderId="2" fillId="2" fontId="1" numFmtId="0" xfId="0" applyAlignment="1" applyBorder="1" applyFill="1" applyFont="1">
      <alignment shrinkToFit="0" vertical="top" wrapText="1"/>
    </xf>
    <xf borderId="9" fillId="2" fontId="1" numFmtId="0" xfId="0" applyAlignment="1" applyBorder="1" applyFill="1" applyFont="1">
      <alignment shrinkToFit="0" vertical="bottom" wrapText="0"/>
    </xf>
    <xf borderId="2" fillId="2" fontId="1" numFmtId="0" xfId="0" applyAlignment="1" applyBorder="1" applyFill="1" applyFont="1">
      <alignment horizontal="center" shrinkToFit="0" vertical="top" wrapText="1"/>
    </xf>
    <xf borderId="2" fillId="2" fontId="1" numFmtId="9" xfId="0" applyAlignment="1" applyBorder="1" applyFill="1" applyFont="1" applyNumberFormat="1">
      <alignment horizontal="center" shrinkToFit="0" vertical="top" wrapText="1"/>
    </xf>
    <xf borderId="2" fillId="2" fontId="1" numFmtId="0" xfId="0" applyAlignment="1" applyBorder="1" applyFill="1" applyFont="1">
      <alignment horizontal="center" shrinkToFit="0" vertical="center" wrapText="0"/>
    </xf>
    <xf borderId="0" fillId="0" fontId="10" numFmtId="0" xfId="0" applyAlignment="1" applyFont="1">
      <alignment horizontal="center" vertical="center"/>
    </xf>
    <xf borderId="9" fillId="4" fontId="1" numFmtId="0" xfId="0" applyAlignment="1" applyBorder="1" applyFill="1" applyFont="1">
      <alignment shrinkToFit="0" vertical="bottom" wrapText="0"/>
    </xf>
    <xf borderId="2" fillId="4" fontId="1" numFmtId="0" xfId="0" applyAlignment="1" applyBorder="1" applyFill="1" applyFont="1">
      <alignment shrinkToFit="0" vertical="top" wrapText="1"/>
    </xf>
    <xf borderId="2" fillId="4" fontId="1" numFmtId="9" xfId="0" applyAlignment="1" applyBorder="1" applyFill="1" applyFont="1" applyNumberFormat="1">
      <alignment horizontal="center" shrinkToFit="0" vertical="top" wrapText="1"/>
    </xf>
    <xf borderId="9" fillId="9" fontId="15" numFmtId="0" xfId="0" applyAlignment="1" applyBorder="1" applyFill="1" applyFont="1">
      <alignment shrinkToFit="0" vertical="bottom" wrapText="0"/>
    </xf>
    <xf borderId="10" fillId="3" fontId="13" numFmtId="0" xfId="0" applyAlignment="1" applyBorder="1" applyFill="1" applyFont="1">
      <alignment shrinkToFit="0" vertical="top" wrapText="1"/>
    </xf>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1" fillId="3" fontId="5" numFmtId="0" xfId="0" applyAlignment="1" applyBorder="1" applyFill="1" applyFont="1">
      <alignment shrinkToFit="0" vertical="top" wrapText="1"/>
    </xf>
  </cellXfs>
  <cellStyles count="1">
    <cellStyle xfId="0" name="Normal" builtinId="0"/>
  </cellStyles>
  <dxfs count="11">
    <dxf>
      <font>
        <b/>
        <color rgb="FF8B1E1E"/>
        <name val="Arial"/>
      </font>
      <fill>
        <patternFill patternType="solid">
          <fgColor rgb="FFF4CCCC"/>
          <bgColor rgb="FFF4CCCC"/>
        </patternFill>
      </fill>
      <border/>
    </dxf>
    <dxf>
      <font>
        <color rgb="FF222222"/>
        <name val="Arial"/>
      </font>
      <fill>
        <patternFill patternType="solid">
          <fgColor rgb="FFFCE9C2"/>
          <bgColor rgb="FFFCE9C2"/>
        </patternFill>
      </fill>
      <border/>
    </dxf>
    <dxf>
      <font>
        <color rgb="FF222222"/>
        <name val="Arial"/>
      </font>
      <fill>
        <patternFill patternType="solid">
          <fgColor rgb="FFE2EFDA"/>
          <bgColor rgb="FFE2EFDA"/>
        </patternFill>
      </fill>
      <border/>
    </dxf>
    <dxf>
      <font>
        <color rgb="FF222222"/>
        <name val="Arial"/>
      </font>
      <fill>
        <patternFill patternType="solid">
          <fgColor rgb="FFEDEDED"/>
          <bgColor rgb="FFEDEDED"/>
        </patternFill>
      </fill>
      <border/>
    </dxf>
    <dxf>
      <font>
        <b/>
        <color rgb="FF8B1E1E"/>
        <name val="Arial"/>
      </font>
      <fill>
        <patternFill patternType="none"/>
      </fill>
      <border/>
    </dxf>
    <dxf>
      <font/>
      <fill>
        <patternFill patternType="solid">
          <fgColor rgb="FFD9EAD3"/>
          <bgColor rgb="FFD9EAD3"/>
        </patternFill>
      </fill>
      <border/>
    </dxf>
    <dxf>
      <font>
        <b/>
        <color rgb="FF7A5A12"/>
        <name val="Arial"/>
      </font>
      <fill>
        <patternFill patternType="solid">
          <fgColor rgb="FFFCE9C2"/>
          <bgColor rgb="FFFCE9C2"/>
        </patternFill>
      </fill>
      <border/>
    </dxf>
    <dxf>
      <font/>
      <fill>
        <patternFill patternType="solid">
          <fgColor rgb="FFFCE9C2"/>
          <bgColor rgb="FFFCE9C2"/>
        </patternFill>
      </fill>
      <border/>
    </dxf>
    <dxf>
      <font>
        <color rgb="FF888888"/>
        <name val="Arial"/>
      </font>
      <fill>
        <patternFill patternType="none"/>
      </fill>
      <border/>
    </dxf>
    <dxf>
      <font>
        <b/>
        <color rgb="FF0F2B46"/>
        <name val="Arial"/>
      </font>
      <fill>
        <patternFill patternType="none"/>
      </fill>
      <border/>
    </dxf>
    <dxf>
      <font/>
      <fill>
        <patternFill patternType="solid">
          <fgColor rgb="FFF8D7D3"/>
          <bgColor rgb="FFF8D7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2B46"/>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outlineLevelCol="1"/>
  <cols>
    <col customWidth="1" min="1" max="1" width="30.0"/>
    <col customWidth="1" min="2" max="2" width="16.0"/>
    <col customWidth="1" min="3" max="5" width="14.0"/>
    <col customWidth="1" min="6" max="6" width="50.0"/>
    <col customWidth="1" min="7" max="26" width="8.71"/>
  </cols>
  <sheetData>
    <row r="1" ht="30.0" customHeight="1">
      <c r="A1" s="2" t="s">
        <v>1</v>
      </c>
      <c r="B1" s="4"/>
      <c r="C1" s="4"/>
      <c r="D1" s="4"/>
      <c r="E1" s="4"/>
      <c r="F1" s="5"/>
    </row>
    <row r="2" ht="43.5" customHeight="1">
      <c r="A2" s="7" t="s">
        <v>13</v>
      </c>
      <c r="B2" s="4"/>
      <c r="C2" s="4"/>
      <c r="D2" s="4"/>
      <c r="E2" s="4"/>
      <c r="F2" s="5"/>
    </row>
    <row r="3" ht="27.75" customHeight="1">
      <c r="A3" s="10" t="s">
        <v>21</v>
      </c>
    </row>
    <row r="5" ht="21.75" customHeight="1">
      <c r="A5" s="11" t="s">
        <v>30</v>
      </c>
      <c r="B5" s="4"/>
      <c r="C5" s="4"/>
      <c r="D5" s="4"/>
      <c r="E5" s="4"/>
      <c r="F5" s="5"/>
    </row>
    <row r="6" ht="39.75" customHeight="1">
      <c r="A6" s="14" t="s">
        <v>39</v>
      </c>
    </row>
    <row r="7" ht="39.75" customHeight="1">
      <c r="A7" s="14" t="s">
        <v>41</v>
      </c>
    </row>
    <row r="8" ht="39.75" customHeight="1">
      <c r="A8" s="14" t="s">
        <v>43</v>
      </c>
    </row>
    <row r="9" ht="39.75" customHeight="1">
      <c r="A9" s="14" t="s">
        <v>46</v>
      </c>
    </row>
    <row r="11" ht="21.75" customHeight="1">
      <c r="A11" s="19" t="s">
        <v>50</v>
      </c>
      <c r="B11" s="4"/>
      <c r="C11" s="4"/>
      <c r="D11" s="4"/>
      <c r="E11" s="4"/>
      <c r="F11" s="5"/>
    </row>
    <row r="12" ht="39.75" customHeight="1">
      <c r="A12" s="3" t="s">
        <v>51</v>
      </c>
      <c r="B12" s="3" t="s">
        <v>53</v>
      </c>
      <c r="C12" s="3" t="s">
        <v>54</v>
      </c>
      <c r="D12" s="3" t="s">
        <v>56</v>
      </c>
      <c r="E12" s="3" t="s">
        <v>57</v>
      </c>
      <c r="F12" s="3" t="s">
        <v>58</v>
      </c>
    </row>
    <row r="13" ht="31.5" customHeight="1">
      <c r="A13" s="12" t="s">
        <v>59</v>
      </c>
      <c r="B13" s="21">
        <f>COUNTIF('3. Mũi- Bo truy van Master'!$U$5:$U$19,A13)</f>
        <v>5</v>
      </c>
      <c r="C13" s="21">
        <f>COUNTIF('3. Mũi- Bo truy van Master'!$J$5:$J$400,A13)</f>
        <v>89</v>
      </c>
      <c r="D13" s="24">
        <f>IFERROR(C13/COUNTA('3. Mũi- Bo truy van Master'!$A$5:$A$400),0)</f>
        <v>0.3396946565</v>
      </c>
      <c r="E13" s="34">
        <f>IFERROR(SUMIF('3. Mũi- Bo truy van Master'!$J$5:$J$400,A13,'3. Mũi- Bo truy van Master'!$L$5:$L$400)/SUM('3. Mũi- Bo truy van Master'!$L$5:$L$400),0)</f>
        <v>0.5977756182</v>
      </c>
      <c r="F13" s="17" t="s">
        <v>86</v>
      </c>
    </row>
    <row r="14" ht="31.5" customHeight="1">
      <c r="A14" s="12" t="s">
        <v>89</v>
      </c>
      <c r="B14" s="21">
        <f>COUNTIF('3. Mũi- Bo truy van Master'!$U$5:$U$19,A14)</f>
        <v>5</v>
      </c>
      <c r="C14" s="21">
        <f>COUNTIF('3. Mũi- Bo truy van Master'!$J$5:$J$400,A14)</f>
        <v>86</v>
      </c>
      <c r="D14" s="24">
        <f>IFERROR(C14/COUNTA('3. Mũi- Bo truy van Master'!$A$5:$A$400),0)</f>
        <v>0.3282442748</v>
      </c>
      <c r="E14" s="34">
        <f>IFERROR(SUMIF('3. Mũi- Bo truy van Master'!$J$5:$J$400,A14,'3. Mũi- Bo truy van Master'!$L$5:$L$400)/SUM('3. Mũi- Bo truy van Master'!$L$5:$L$400),0)</f>
        <v>0.2735125796</v>
      </c>
      <c r="F14" s="17" t="s">
        <v>98</v>
      </c>
    </row>
    <row r="15" ht="31.5" customHeight="1">
      <c r="A15" s="12" t="s">
        <v>100</v>
      </c>
      <c r="B15" s="21">
        <f>COUNTIF('3. Mũi- Bo truy van Master'!$U$5:$U$19,A15)</f>
        <v>3</v>
      </c>
      <c r="C15" s="21">
        <f>COUNTIF('3. Mũi- Bo truy van Master'!$J$5:$J$400,A15)</f>
        <v>50</v>
      </c>
      <c r="D15" s="24">
        <f>IFERROR(C15/COUNTA('3. Mũi- Bo truy van Master'!$A$5:$A$400),0)</f>
        <v>0.1908396947</v>
      </c>
      <c r="E15" s="34">
        <f>IFERROR(SUMIF('3. Mũi- Bo truy van Master'!$J$5:$J$400,A15,'3. Mũi- Bo truy van Master'!$L$5:$L$400)/SUM('3. Mũi- Bo truy van Master'!$L$5:$L$400),0)</f>
        <v>0.09523809524</v>
      </c>
      <c r="F15" s="17" t="s">
        <v>117</v>
      </c>
    </row>
    <row r="16" ht="31.5" customHeight="1">
      <c r="A16" s="12" t="s">
        <v>119</v>
      </c>
      <c r="B16" s="21">
        <f>COUNTIF('3. Mũi- Bo truy van Master'!$U$5:$U$19,A16)</f>
        <v>2</v>
      </c>
      <c r="C16" s="21">
        <f>COUNTIF('3. Mũi- Bo truy van Master'!$J$5:$J$400,A16)</f>
        <v>37</v>
      </c>
      <c r="D16" s="24">
        <f>IFERROR(C16/COUNTA('3. Mũi- Bo truy van Master'!$A$5:$A$400),0)</f>
        <v>0.141221374</v>
      </c>
      <c r="E16" s="34">
        <f>IFERROR(SUMIF('3. Mũi- Bo truy van Master'!$J$5:$J$400,A16,'3. Mũi- Bo truy van Master'!$L$5:$L$400)/SUM('3. Mũi- Bo truy van Master'!$L$5:$L$400),0)</f>
        <v>0.03347370694</v>
      </c>
      <c r="F16" s="17" t="s">
        <v>135</v>
      </c>
    </row>
    <row r="17" ht="30.0" customHeight="1">
      <c r="A17" s="45" t="s">
        <v>138</v>
      </c>
      <c r="B17" s="47" t="s">
        <v>140</v>
      </c>
      <c r="C17" s="47">
        <f>COUNTIF('3. Mũi- Bo truy van Master'!$I$5:$I$400,"CORE 80/20")</f>
        <v>70</v>
      </c>
      <c r="D17" s="50">
        <f>IFERROR(C17/COUNTA('3. Mũi- Bo truy van Master'!$A$5:$A$400),0)</f>
        <v>0.2671755725</v>
      </c>
      <c r="E17" s="54">
        <f>IFERROR(SUMIF('3. Mũi- Bo truy van Master'!$I$5:$I$400,"CORE 80/20",'3. Mũi- Bo truy van Master'!$L$5:$L$400)/SUM('3. Mũi- Bo truy van Master'!$L$5:$L$400),0)</f>
        <v>0.5131195335</v>
      </c>
      <c r="F17" s="55" t="s">
        <v>154</v>
      </c>
    </row>
    <row r="18" ht="39.75" customHeight="1">
      <c r="A18" s="57" t="s">
        <v>156</v>
      </c>
      <c r="B18" s="4"/>
      <c r="C18" s="4"/>
      <c r="D18" s="4"/>
      <c r="E18" s="4"/>
      <c r="F18" s="5"/>
    </row>
    <row r="20" ht="21.75" customHeight="1">
      <c r="A20" s="11" t="s">
        <v>161</v>
      </c>
      <c r="B20" s="4"/>
      <c r="C20" s="4"/>
      <c r="D20" s="4"/>
      <c r="E20" s="4"/>
      <c r="F20" s="5"/>
    </row>
    <row r="21" ht="39.75" customHeight="1">
      <c r="A21" s="3" t="s">
        <v>163</v>
      </c>
      <c r="B21" s="3" t="s">
        <v>164</v>
      </c>
      <c r="C21" s="51" t="s">
        <v>165</v>
      </c>
      <c r="D21" s="53"/>
      <c r="E21" s="52"/>
      <c r="F21" s="3" t="s">
        <v>166</v>
      </c>
    </row>
    <row r="22" ht="31.5" customHeight="1">
      <c r="A22" s="12" t="s">
        <v>168</v>
      </c>
      <c r="B22" s="17" t="s">
        <v>171</v>
      </c>
      <c r="C22" s="59" t="s">
        <v>173</v>
      </c>
      <c r="D22" s="53"/>
      <c r="E22" s="52"/>
      <c r="F22" s="17" t="s">
        <v>174</v>
      </c>
    </row>
    <row r="23" ht="31.5" customHeight="1">
      <c r="A23" s="26" t="s">
        <v>176</v>
      </c>
      <c r="B23" s="28" t="s">
        <v>178</v>
      </c>
      <c r="C23" s="60" t="s">
        <v>180</v>
      </c>
      <c r="D23" s="53"/>
      <c r="E23" s="52"/>
      <c r="F23" s="28" t="s">
        <v>182</v>
      </c>
    </row>
    <row r="24" ht="31.5" customHeight="1">
      <c r="A24" s="12" t="s">
        <v>184</v>
      </c>
      <c r="B24" s="17" t="s">
        <v>186</v>
      </c>
      <c r="C24" s="59" t="s">
        <v>187</v>
      </c>
      <c r="D24" s="53"/>
      <c r="E24" s="52"/>
      <c r="F24" s="17" t="s">
        <v>188</v>
      </c>
    </row>
    <row r="25" ht="31.5" customHeight="1">
      <c r="A25" s="26" t="s">
        <v>190</v>
      </c>
      <c r="B25" s="28" t="s">
        <v>191</v>
      </c>
      <c r="C25" s="60" t="s">
        <v>193</v>
      </c>
      <c r="D25" s="53"/>
      <c r="E25" s="52"/>
      <c r="F25" s="28" t="s">
        <v>196</v>
      </c>
    </row>
    <row r="26" ht="31.5" customHeight="1">
      <c r="A26" s="12" t="s">
        <v>198</v>
      </c>
      <c r="B26" s="17" t="s">
        <v>200</v>
      </c>
      <c r="C26" s="59" t="s">
        <v>202</v>
      </c>
      <c r="D26" s="53"/>
      <c r="E26" s="52"/>
      <c r="F26" s="17" t="s">
        <v>205</v>
      </c>
    </row>
    <row r="27" ht="31.5" customHeight="1">
      <c r="A27" s="26" t="s">
        <v>206</v>
      </c>
      <c r="B27" s="28" t="s">
        <v>207</v>
      </c>
      <c r="C27" s="60" t="s">
        <v>209</v>
      </c>
      <c r="D27" s="53"/>
      <c r="E27" s="52"/>
      <c r="F27" s="28" t="s">
        <v>212</v>
      </c>
    </row>
    <row r="28" ht="15.75" customHeight="1"/>
    <row r="29" ht="21.75" customHeight="1">
      <c r="A29" s="11" t="s">
        <v>213</v>
      </c>
      <c r="B29" s="4"/>
      <c r="C29" s="4"/>
      <c r="D29" s="4"/>
      <c r="E29" s="4"/>
      <c r="F29" s="5"/>
    </row>
    <row r="30" ht="30.0" customHeight="1">
      <c r="A30" s="14" t="s">
        <v>216</v>
      </c>
    </row>
    <row r="31" ht="30.0" customHeight="1">
      <c r="A31" s="14" t="s">
        <v>217</v>
      </c>
    </row>
    <row r="32" ht="30.0" customHeight="1">
      <c r="A32" s="14" t="s">
        <v>218</v>
      </c>
    </row>
    <row r="33" ht="30.0" customHeight="1">
      <c r="A33" s="14" t="s">
        <v>219</v>
      </c>
    </row>
    <row r="34" ht="30.0" customHeight="1">
      <c r="A34" s="14" t="s">
        <v>222</v>
      </c>
    </row>
    <row r="35" ht="30.0" customHeight="1">
      <c r="A35" s="14" t="s">
        <v>225</v>
      </c>
    </row>
    <row r="36" ht="15.75" customHeight="1"/>
    <row r="37" ht="21.75" customHeight="1">
      <c r="A37" s="61" t="s">
        <v>229</v>
      </c>
      <c r="B37" s="4"/>
      <c r="C37" s="4"/>
      <c r="D37" s="4"/>
      <c r="E37" s="4"/>
      <c r="F37" s="5"/>
    </row>
    <row r="38" ht="30.0" customHeight="1">
      <c r="A38" s="14" t="s">
        <v>231</v>
      </c>
    </row>
    <row r="39" ht="30.0" customHeight="1">
      <c r="A39" s="14" t="s">
        <v>232</v>
      </c>
    </row>
    <row r="40" ht="30.0" customHeight="1">
      <c r="A40" s="14" t="s">
        <v>234</v>
      </c>
    </row>
    <row r="41" ht="30.0" customHeight="1">
      <c r="A41" s="14" t="s">
        <v>235</v>
      </c>
    </row>
    <row r="42" ht="30.0" customHeight="1">
      <c r="A42" s="14" t="s">
        <v>236</v>
      </c>
    </row>
    <row r="43" ht="15.75" customHeight="1"/>
    <row r="44" ht="21.75" customHeight="1">
      <c r="A44" s="11" t="s">
        <v>238</v>
      </c>
      <c r="B44" s="4"/>
      <c r="C44" s="4"/>
      <c r="D44" s="4"/>
      <c r="E44" s="4"/>
      <c r="F44" s="5"/>
    </row>
    <row r="45" ht="39.75" customHeight="1">
      <c r="A45" s="3" t="s">
        <v>239</v>
      </c>
      <c r="B45" s="3" t="s">
        <v>240</v>
      </c>
      <c r="C45" s="3" t="s">
        <v>241</v>
      </c>
      <c r="D45" s="3"/>
      <c r="E45" s="3"/>
      <c r="F45" s="3"/>
    </row>
    <row r="46" ht="15.75" customHeight="1">
      <c r="A46" s="12" t="s">
        <v>243</v>
      </c>
      <c r="B46" s="21">
        <f>COUNTA('3. Mũi- Bo truy van Master'!$A$5:$A$400)</f>
        <v>262</v>
      </c>
      <c r="C46" s="24"/>
    </row>
    <row r="47" ht="15.75" customHeight="1">
      <c r="A47" s="26" t="s">
        <v>248</v>
      </c>
      <c r="B47" s="30">
        <f>COUNTIF('3. Mũi- Bo truy van Master'!$G$5:$G$400,"P1")</f>
        <v>161</v>
      </c>
      <c r="C47" s="35">
        <f t="shared" ref="C47:C60" si="1">IFERROR(B47/$B$46,0)</f>
        <v>0.6145038168</v>
      </c>
    </row>
    <row r="48" ht="15.75" customHeight="1">
      <c r="A48" s="12" t="s">
        <v>252</v>
      </c>
      <c r="B48" s="21">
        <f>COUNTIF('3. Mũi- Bo truy van Master'!$G$5:$G$400,"P2")</f>
        <v>82</v>
      </c>
      <c r="C48" s="24">
        <f t="shared" si="1"/>
        <v>0.3129770992</v>
      </c>
    </row>
    <row r="49" ht="15.75" customHeight="1">
      <c r="A49" s="26" t="s">
        <v>256</v>
      </c>
      <c r="B49" s="30">
        <f>COUNTIF('3. Mũi- Bo truy van Master'!$G$5:$G$400,"P3")</f>
        <v>19</v>
      </c>
      <c r="C49" s="35">
        <f t="shared" si="1"/>
        <v>0.07251908397</v>
      </c>
    </row>
    <row r="50" ht="15.75" customHeight="1">
      <c r="A50" s="12" t="s">
        <v>260</v>
      </c>
      <c r="B50" s="21">
        <f>COUNTIF('3. Mũi- Bo truy van Master'!$F$5:$F$400,"Hot")</f>
        <v>113</v>
      </c>
      <c r="C50" s="24">
        <f t="shared" si="1"/>
        <v>0.4312977099</v>
      </c>
    </row>
    <row r="51" ht="15.75" customHeight="1">
      <c r="A51" s="26" t="s">
        <v>265</v>
      </c>
      <c r="B51" s="30">
        <f>COUNTIF('3. Mũi- Bo truy van Master'!$F$5:$F$400,"Warm")</f>
        <v>124</v>
      </c>
      <c r="C51" s="35">
        <f t="shared" si="1"/>
        <v>0.4732824427</v>
      </c>
    </row>
    <row r="52" ht="15.75" customHeight="1">
      <c r="A52" s="12" t="s">
        <v>268</v>
      </c>
      <c r="B52" s="21">
        <f>COUNTIF('3. Mũi- Bo truy van Master'!$F$5:$F$400,"Cold")</f>
        <v>25</v>
      </c>
      <c r="C52" s="24">
        <f t="shared" si="1"/>
        <v>0.09541984733</v>
      </c>
    </row>
    <row r="53" ht="15.75" customHeight="1">
      <c r="A53" s="26" t="s">
        <v>273</v>
      </c>
      <c r="B53" s="30">
        <f>COUNTIF('3. Mũi- Bo truy van Master'!$H$5:$H$400,"Cao")</f>
        <v>188</v>
      </c>
      <c r="C53" s="35">
        <f t="shared" si="1"/>
        <v>0.7175572519</v>
      </c>
    </row>
    <row r="54" ht="15.75" customHeight="1">
      <c r="A54" s="12" t="s">
        <v>275</v>
      </c>
      <c r="B54" s="21">
        <f>COUNTIF('3. Mũi- Bo truy van Master'!$I$5:$I$400,"CORE 80/20")</f>
        <v>70</v>
      </c>
      <c r="C54" s="24">
        <f t="shared" si="1"/>
        <v>0.2671755725</v>
      </c>
    </row>
    <row r="55" ht="15.75" customHeight="1">
      <c r="A55" s="26" t="s">
        <v>37</v>
      </c>
      <c r="B55" s="30">
        <f>COUNTIF('3. Mũi- Bo truy van Master'!$C$5:$C$400,"S1 · NHẬN BIẾT (Cold)")</f>
        <v>52</v>
      </c>
      <c r="C55" s="35">
        <f t="shared" si="1"/>
        <v>0.1984732824</v>
      </c>
    </row>
    <row r="56" ht="15.75" customHeight="1">
      <c r="A56" s="12" t="s">
        <v>61</v>
      </c>
      <c r="B56" s="21">
        <f>COUNTIF('3. Mũi- Bo truy van Master'!$C$5:$C$400,"S2 · TÌM HIỂU (Warm)")</f>
        <v>70</v>
      </c>
      <c r="C56" s="24">
        <f t="shared" si="1"/>
        <v>0.2671755725</v>
      </c>
    </row>
    <row r="57" ht="15.75" customHeight="1">
      <c r="A57" s="26" t="s">
        <v>80</v>
      </c>
      <c r="B57" s="30">
        <f>COUNTIF('3. Mũi- Bo truy van Master'!$C$5:$C$400,"S3 · CÂN NHẮC &amp; NỖI SỢ (Warm→Hot)")</f>
        <v>89</v>
      </c>
      <c r="C57" s="35">
        <f t="shared" si="1"/>
        <v>0.3396946565</v>
      </c>
    </row>
    <row r="58" ht="15.75" customHeight="1">
      <c r="A58" s="12" t="s">
        <v>99</v>
      </c>
      <c r="B58" s="21">
        <f>COUNTIF('3. Mũi- Bo truy van Master'!$C$5:$C$400,"S4 · THỰC HIỆN (Hot)")</f>
        <v>17</v>
      </c>
      <c r="C58" s="24">
        <f t="shared" si="1"/>
        <v>0.06488549618</v>
      </c>
    </row>
    <row r="59" ht="15.75" customHeight="1">
      <c r="A59" s="26" t="s">
        <v>114</v>
      </c>
      <c r="B59" s="30">
        <f>COUNTIF('3. Mũi- Bo truy van Master'!$C$5:$C$400,"S5 · TRẢI NGHIỆM &amp; HẬU PHẪU (Existing)")</f>
        <v>20</v>
      </c>
      <c r="C59" s="35">
        <f t="shared" si="1"/>
        <v>0.07633587786</v>
      </c>
    </row>
    <row r="60" ht="15.75" customHeight="1">
      <c r="A60" s="12" t="s">
        <v>127</v>
      </c>
      <c r="B60" s="21">
        <f>COUNTIF('3. Mũi- Bo truy van Master'!$C$5:$C$400,"S6 · GẮN BÓ &amp; MỞ RỘNG (LTV)")</f>
        <v>14</v>
      </c>
      <c r="C60" s="24">
        <f t="shared" si="1"/>
        <v>0.0534351145</v>
      </c>
    </row>
    <row r="61" ht="15.75" customHeight="1"/>
    <row r="62" ht="21.75" customHeight="1">
      <c r="A62" s="19" t="s">
        <v>288</v>
      </c>
      <c r="B62" s="4"/>
      <c r="C62" s="4"/>
      <c r="D62" s="4"/>
      <c r="E62" s="4"/>
      <c r="F62" s="5"/>
    </row>
    <row r="63" ht="30.0" customHeight="1">
      <c r="A63" s="14" t="s">
        <v>289</v>
      </c>
    </row>
    <row r="64" ht="30.0" customHeight="1">
      <c r="A64" s="14" t="s">
        <v>290</v>
      </c>
    </row>
    <row r="65" ht="30.0" customHeight="1">
      <c r="A65" s="14" t="s">
        <v>291</v>
      </c>
    </row>
    <row r="66" ht="30.0" customHeight="1">
      <c r="A66" s="14" t="s">
        <v>292</v>
      </c>
    </row>
    <row r="67" ht="30.0" customHeight="1">
      <c r="A67" s="14" t="s">
        <v>293</v>
      </c>
    </row>
    <row r="68" ht="30.0" customHeight="1">
      <c r="A68" s="14" t="s">
        <v>294</v>
      </c>
    </row>
    <row r="69" ht="30.0" customHeight="1">
      <c r="A69" s="14" t="s">
        <v>295</v>
      </c>
    </row>
    <row r="70" ht="30.0" customHeight="1">
      <c r="A70" s="14" t="s">
        <v>296</v>
      </c>
    </row>
    <row r="71" ht="15.75" customHeight="1"/>
    <row r="72" ht="21.75" customHeight="1">
      <c r="A72" s="11" t="s">
        <v>298</v>
      </c>
      <c r="B72" s="4"/>
      <c r="C72" s="4"/>
      <c r="D72" s="4"/>
      <c r="E72" s="4"/>
      <c r="F72" s="5"/>
    </row>
    <row r="73" ht="18.0" customHeight="1">
      <c r="A73" s="14" t="s">
        <v>302</v>
      </c>
    </row>
    <row r="74" ht="18.0" customHeight="1">
      <c r="A74" s="14" t="s">
        <v>304</v>
      </c>
    </row>
    <row r="75" ht="18.0" customHeight="1">
      <c r="A75" s="14" t="s">
        <v>305</v>
      </c>
    </row>
    <row r="76" ht="18.0" customHeight="1">
      <c r="A76" s="14" t="s">
        <v>306</v>
      </c>
    </row>
    <row r="77" ht="43.5" customHeight="1">
      <c r="A77" s="57" t="s">
        <v>307</v>
      </c>
      <c r="B77" s="4"/>
      <c r="C77" s="4"/>
      <c r="D77" s="4"/>
      <c r="E77" s="4"/>
      <c r="F77" s="5"/>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7">
    <mergeCell ref="A1:F1"/>
    <mergeCell ref="A2:F2"/>
    <mergeCell ref="A3:F3"/>
    <mergeCell ref="A5:F5"/>
    <mergeCell ref="A6:F6"/>
    <mergeCell ref="A7:F7"/>
    <mergeCell ref="A8:F8"/>
    <mergeCell ref="A9:F9"/>
    <mergeCell ref="A11:F11"/>
    <mergeCell ref="A18:F18"/>
    <mergeCell ref="A20:F20"/>
    <mergeCell ref="C21:E21"/>
    <mergeCell ref="C22:E22"/>
    <mergeCell ref="C23:E23"/>
    <mergeCell ref="C24:E24"/>
    <mergeCell ref="C25:E25"/>
    <mergeCell ref="C26:E26"/>
    <mergeCell ref="C27:E27"/>
    <mergeCell ref="A29:F29"/>
    <mergeCell ref="A30:F30"/>
    <mergeCell ref="A31:F31"/>
    <mergeCell ref="A32:F32"/>
    <mergeCell ref="A33:F33"/>
    <mergeCell ref="A34:F34"/>
    <mergeCell ref="A35:F35"/>
    <mergeCell ref="A37:F37"/>
    <mergeCell ref="A38:F38"/>
    <mergeCell ref="A39:F39"/>
    <mergeCell ref="A40:F40"/>
    <mergeCell ref="A41:F41"/>
    <mergeCell ref="A42:F42"/>
    <mergeCell ref="A44:F44"/>
    <mergeCell ref="A62:F62"/>
    <mergeCell ref="A63:F63"/>
    <mergeCell ref="A64:F64"/>
    <mergeCell ref="A73:F73"/>
    <mergeCell ref="A74:F74"/>
    <mergeCell ref="A75:F75"/>
    <mergeCell ref="A76:F76"/>
    <mergeCell ref="A77:F77"/>
    <mergeCell ref="A65:F65"/>
    <mergeCell ref="A66:F66"/>
    <mergeCell ref="A67:F67"/>
    <mergeCell ref="A68:F68"/>
    <mergeCell ref="A69:F69"/>
    <mergeCell ref="A70:F70"/>
    <mergeCell ref="A72:F72"/>
  </mergeCells>
  <conditionalFormatting sqref="A13:A16">
    <cfRule type="expression" dxfId="0" priority="1">
      <formula>LEFT($A13,1)="A"</formula>
    </cfRule>
  </conditionalFormatting>
  <conditionalFormatting sqref="A13:A16">
    <cfRule type="expression" dxfId="1" priority="2">
      <formula>LEFT($A13,1)="B"</formula>
    </cfRule>
  </conditionalFormatting>
  <conditionalFormatting sqref="A13:A16">
    <cfRule type="expression" dxfId="2" priority="3">
      <formula>LEFT($A13,1)="C"</formula>
    </cfRule>
  </conditionalFormatting>
  <conditionalFormatting sqref="A13:A16">
    <cfRule type="expression" dxfId="3" priority="4">
      <formula>LEFT($A13,1)="D"</formula>
    </cfRule>
  </conditionalFormatting>
  <printOptions/>
  <pageMargins bottom="1.0" footer="0.0" header="0.0" left="0.75" right="0.75"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8E7E"/>
    <pageSetUpPr fitToPage="1"/>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outlineLevelCol="1"/>
  <cols>
    <col customWidth="1" min="1" max="1" width="22.0"/>
    <col customWidth="1" min="2" max="2" width="11.0"/>
    <col customWidth="1" min="3" max="3" width="34.0"/>
    <col customWidth="1" min="4" max="4" width="30.0"/>
    <col customWidth="1" min="5" max="5" width="26.0"/>
    <col customWidth="1" min="6" max="6" width="30.0"/>
    <col customWidth="1" min="7" max="7" width="40.0"/>
    <col customWidth="1" min="8" max="8" width="20.0"/>
    <col customWidth="1" min="9" max="10" width="9.0"/>
    <col customWidth="1" min="11" max="11" width="10.0"/>
    <col customWidth="1" min="12" max="26" width="8.71"/>
  </cols>
  <sheetData>
    <row r="1" ht="30.0" customHeight="1">
      <c r="A1" s="2" t="s">
        <v>0</v>
      </c>
      <c r="B1" s="4"/>
      <c r="C1" s="4"/>
      <c r="D1" s="4"/>
      <c r="E1" s="4"/>
      <c r="F1" s="4"/>
      <c r="G1" s="4"/>
      <c r="H1" s="4"/>
      <c r="I1" s="4"/>
      <c r="J1" s="4"/>
      <c r="K1" s="5"/>
    </row>
    <row r="2" ht="43.5" customHeight="1">
      <c r="A2" s="7" t="s">
        <v>7</v>
      </c>
      <c r="B2" s="4"/>
      <c r="C2" s="4"/>
      <c r="D2" s="4"/>
      <c r="E2" s="4"/>
      <c r="F2" s="4"/>
      <c r="G2" s="4"/>
      <c r="H2" s="4"/>
      <c r="I2" s="4"/>
      <c r="J2" s="4"/>
      <c r="K2" s="5"/>
    </row>
    <row r="3" ht="27.75" customHeight="1">
      <c r="A3" s="10" t="s">
        <v>15</v>
      </c>
    </row>
    <row r="4" ht="39.75" customHeight="1">
      <c r="A4" s="3" t="s">
        <v>5</v>
      </c>
      <c r="B4" s="3" t="s">
        <v>11</v>
      </c>
      <c r="C4" s="3" t="s">
        <v>19</v>
      </c>
      <c r="D4" s="3" t="s">
        <v>22</v>
      </c>
      <c r="E4" s="3" t="s">
        <v>24</v>
      </c>
      <c r="F4" s="3" t="s">
        <v>26</v>
      </c>
      <c r="G4" s="3" t="s">
        <v>28</v>
      </c>
      <c r="H4" s="3" t="s">
        <v>29</v>
      </c>
      <c r="I4" s="9" t="s">
        <v>31</v>
      </c>
      <c r="J4" s="9" t="s">
        <v>33</v>
      </c>
      <c r="K4" s="9" t="s">
        <v>35</v>
      </c>
    </row>
    <row r="5" ht="60.0" customHeight="1">
      <c r="A5" s="12" t="s">
        <v>37</v>
      </c>
      <c r="B5" s="15" t="s">
        <v>40</v>
      </c>
      <c r="C5" s="17" t="s">
        <v>42</v>
      </c>
      <c r="D5" s="17" t="s">
        <v>44</v>
      </c>
      <c r="E5" s="17" t="s">
        <v>45</v>
      </c>
      <c r="F5" s="17" t="s">
        <v>47</v>
      </c>
      <c r="G5" s="17" t="s">
        <v>48</v>
      </c>
      <c r="H5" s="17" t="s">
        <v>49</v>
      </c>
      <c r="I5" s="21">
        <f>COUNTIF('3. Mũi- Bo truy van Master'!$C$5:$C$400,A5)</f>
        <v>52</v>
      </c>
      <c r="J5" s="21">
        <f>COUNTIFS('3. Mũi- Bo truy van Master'!$C$5:$C$400,A5,'3. Mũi- Bo truy van Master'!$I$5:$I$400,"CORE 80/20")</f>
        <v>0</v>
      </c>
      <c r="K5" s="24">
        <f>IFERROR(SUMIF('3. Mũi- Bo truy van Master'!$C$5:$C$400,A5,'3. Mũi- Bo truy van Master'!$L$5:$L$400)/SUM('3. Mũi- Bo truy van Master'!$L$5:$L$400),0)</f>
        <v>0.07882518087</v>
      </c>
    </row>
    <row r="6" ht="60.0" customHeight="1">
      <c r="A6" s="26" t="s">
        <v>61</v>
      </c>
      <c r="B6" s="27" t="s">
        <v>62</v>
      </c>
      <c r="C6" s="28" t="s">
        <v>64</v>
      </c>
      <c r="D6" s="28" t="s">
        <v>66</v>
      </c>
      <c r="E6" s="28" t="s">
        <v>68</v>
      </c>
      <c r="F6" s="28" t="s">
        <v>70</v>
      </c>
      <c r="G6" s="28" t="s">
        <v>71</v>
      </c>
      <c r="H6" s="28" t="s">
        <v>73</v>
      </c>
      <c r="I6" s="30">
        <f>COUNTIF('3. Mũi- Bo truy van Master'!$C$5:$C$400,A6)</f>
        <v>70</v>
      </c>
      <c r="J6" s="30">
        <f>COUNTIFS('3. Mũi- Bo truy van Master'!$C$5:$C$400,A6,'3. Mũi- Bo truy van Master'!$I$5:$I$400,"CORE 80/20")</f>
        <v>0</v>
      </c>
      <c r="K6" s="35">
        <f>IFERROR(SUMIF('3. Mũi- Bo truy van Master'!$C$5:$C$400,A6,'3. Mũi- Bo truy van Master'!$L$5:$L$400)/SUM('3. Mũi- Bo truy van Master'!$L$5:$L$400),0)</f>
        <v>0.2015980996</v>
      </c>
    </row>
    <row r="7" ht="60.0" customHeight="1">
      <c r="A7" s="37" t="s">
        <v>80</v>
      </c>
      <c r="B7" s="38" t="s">
        <v>90</v>
      </c>
      <c r="C7" s="39" t="s">
        <v>92</v>
      </c>
      <c r="D7" s="39" t="s">
        <v>93</v>
      </c>
      <c r="E7" s="39" t="s">
        <v>94</v>
      </c>
      <c r="F7" s="39" t="s">
        <v>95</v>
      </c>
      <c r="G7" s="39" t="s">
        <v>96</v>
      </c>
      <c r="H7" s="39" t="s">
        <v>97</v>
      </c>
      <c r="I7" s="40">
        <f>COUNTIF('3. Mũi- Bo truy van Master'!$C$5:$C$400,A7)</f>
        <v>89</v>
      </c>
      <c r="J7" s="40">
        <f>COUNTIFS('3. Mũi- Bo truy van Master'!$C$5:$C$400,A7,'3. Mũi- Bo truy van Master'!$I$5:$I$400,"CORE 80/20")</f>
        <v>70</v>
      </c>
      <c r="K7" s="41">
        <f>IFERROR(SUMIF('3. Mũi- Bo truy van Master'!$C$5:$C$400,A7,'3. Mũi- Bo truy van Master'!$L$5:$L$400)/SUM('3. Mũi- Bo truy van Master'!$L$5:$L$400),0)</f>
        <v>0.5977756182</v>
      </c>
    </row>
    <row r="8" ht="49.5" customHeight="1">
      <c r="A8" s="26" t="s">
        <v>99</v>
      </c>
      <c r="B8" s="27" t="s">
        <v>62</v>
      </c>
      <c r="C8" s="28" t="s">
        <v>101</v>
      </c>
      <c r="D8" s="28" t="s">
        <v>102</v>
      </c>
      <c r="E8" s="28" t="s">
        <v>103</v>
      </c>
      <c r="F8" s="28" t="s">
        <v>104</v>
      </c>
      <c r="G8" s="28" t="s">
        <v>105</v>
      </c>
      <c r="H8" s="28" t="s">
        <v>106</v>
      </c>
      <c r="I8" s="30">
        <f>COUNTIF('3. Mũi- Bo truy van Master'!$C$5:$C$400,A8)</f>
        <v>17</v>
      </c>
      <c r="J8" s="30">
        <f>COUNTIFS('3. Mũi- Bo truy van Master'!$C$5:$C$400,A8,'3. Mũi- Bo truy van Master'!$I$5:$I$400,"CORE 80/20")</f>
        <v>0</v>
      </c>
      <c r="K8" s="35">
        <f>IFERROR(SUMIF('3. Mũi- Bo truy van Master'!$C$5:$C$400,A8,'3. Mũi- Bo truy van Master'!$L$5:$L$400)/SUM('3. Mũi- Bo truy van Master'!$L$5:$L$400),0)</f>
        <v>0.07256235828</v>
      </c>
    </row>
    <row r="9" ht="60.0" customHeight="1">
      <c r="A9" s="12" t="s">
        <v>114</v>
      </c>
      <c r="B9" s="15" t="s">
        <v>62</v>
      </c>
      <c r="C9" s="17" t="s">
        <v>116</v>
      </c>
      <c r="D9" s="17" t="s">
        <v>118</v>
      </c>
      <c r="E9" s="17" t="s">
        <v>120</v>
      </c>
      <c r="F9" s="17" t="s">
        <v>121</v>
      </c>
      <c r="G9" s="17" t="s">
        <v>123</v>
      </c>
      <c r="H9" s="17" t="s">
        <v>124</v>
      </c>
      <c r="I9" s="21">
        <f>COUNTIF('3. Mũi- Bo truy van Master'!$C$5:$C$400,A9)</f>
        <v>20</v>
      </c>
      <c r="J9" s="21">
        <f>COUNTIFS('3. Mũi- Bo truy van Master'!$C$5:$C$400,A9,'3. Mũi- Bo truy van Master'!$I$5:$I$400,"CORE 80/20")</f>
        <v>0</v>
      </c>
      <c r="K9" s="24">
        <f>IFERROR(SUMIF('3. Mũi- Bo truy van Master'!$C$5:$C$400,A9,'3. Mũi- Bo truy van Master'!$L$5:$L$400)/SUM('3. Mũi- Bo truy van Master'!$L$5:$L$400),0)</f>
        <v>0.02494331066</v>
      </c>
    </row>
    <row r="10" ht="49.5" customHeight="1">
      <c r="A10" s="26" t="s">
        <v>127</v>
      </c>
      <c r="B10" s="27" t="s">
        <v>40</v>
      </c>
      <c r="C10" s="28" t="s">
        <v>128</v>
      </c>
      <c r="D10" s="28" t="s">
        <v>130</v>
      </c>
      <c r="E10" s="28" t="s">
        <v>131</v>
      </c>
      <c r="F10" s="28" t="s">
        <v>133</v>
      </c>
      <c r="G10" s="28" t="s">
        <v>134</v>
      </c>
      <c r="H10" s="28" t="s">
        <v>137</v>
      </c>
      <c r="I10" s="30">
        <f>COUNTIF('3. Mũi- Bo truy van Master'!$C$5:$C$400,A10)</f>
        <v>14</v>
      </c>
      <c r="J10" s="30">
        <f>COUNTIFS('3. Mũi- Bo truy van Master'!$C$5:$C$400,A10,'3. Mũi- Bo truy van Master'!$I$5:$I$400,"CORE 80/20")</f>
        <v>0</v>
      </c>
      <c r="K10" s="35">
        <f>IFERROR(SUMIF('3. Mũi- Bo truy van Master'!$C$5:$C$400,A10,'3. Mũi- Bo truy van Master'!$L$5:$L$400)/SUM('3. Mũi- Bo truy van Master'!$L$5:$L$400),0)</f>
        <v>0.02429543246</v>
      </c>
    </row>
    <row r="12" ht="21.75" customHeight="1">
      <c r="A12" s="19" t="s">
        <v>144</v>
      </c>
      <c r="B12" s="4"/>
      <c r="C12" s="4"/>
      <c r="D12" s="4"/>
      <c r="E12" s="4"/>
      <c r="F12" s="4"/>
      <c r="G12" s="4"/>
      <c r="H12" s="4"/>
      <c r="I12" s="4"/>
      <c r="J12" s="4"/>
      <c r="K12" s="5"/>
    </row>
    <row r="13" ht="39.75" customHeight="1">
      <c r="A13" s="51" t="s">
        <v>145</v>
      </c>
      <c r="B13" s="52"/>
      <c r="C13" s="51" t="s">
        <v>149</v>
      </c>
      <c r="D13" s="53"/>
      <c r="E13" s="53"/>
      <c r="F13" s="53"/>
      <c r="G13" s="52"/>
      <c r="H13" s="3" t="s">
        <v>152</v>
      </c>
      <c r="I13" s="3" t="s">
        <v>31</v>
      </c>
      <c r="J13" s="3" t="s">
        <v>33</v>
      </c>
      <c r="K13" s="3" t="s">
        <v>35</v>
      </c>
    </row>
    <row r="14" ht="39.75" customHeight="1">
      <c r="A14" s="58" t="s">
        <v>158</v>
      </c>
      <c r="B14" s="52"/>
      <c r="C14" s="59" t="s">
        <v>160</v>
      </c>
      <c r="D14" s="53"/>
      <c r="E14" s="53"/>
      <c r="F14" s="53"/>
      <c r="G14" s="52"/>
      <c r="H14" s="15" t="s">
        <v>162</v>
      </c>
      <c r="I14" s="21">
        <f>COUNTIF('3. Mũi- Bo truy van Master'!$B$5:$B$400,"C06*")+COUNTIF('3. Mũi- Bo truy van Master'!$B$5:$B$400,"C11*")</f>
        <v>39</v>
      </c>
      <c r="J14" s="21">
        <f>COUNTIFS('3. Mũi- Bo truy van Master'!$B$5:$B$400,"C06*",'3. Mũi- Bo truy van Master'!$I$5:$I$400,"CORE 80/20")+COUNTIFS('3. Mũi- Bo truy van Master'!$B$5:$B$400,"C11*",'3. Mũi- Bo truy van Master'!$I$5:$I$400,"CORE 80/20")</f>
        <v>32</v>
      </c>
      <c r="K14" s="34">
        <f>IFERROR((SUMIF('3. Mũi- Bo truy van Master'!$B$5:$B$400,"C06*",'3. Mũi- Bo truy van Master'!$L$5:$L$400)+SUMIF('3. Mũi- Bo truy van Master'!$B$5:$B$400,"C11*",'3. Mũi- Bo truy van Master'!$L$5:$L$400))/SUM('3. Mũi- Bo truy van Master'!$L$5:$L$400),0)</f>
        <v>0.2944606414</v>
      </c>
    </row>
    <row r="15" ht="39.75" customHeight="1">
      <c r="A15" s="58" t="s">
        <v>189</v>
      </c>
      <c r="B15" s="52"/>
      <c r="C15" s="59" t="s">
        <v>192</v>
      </c>
      <c r="D15" s="53"/>
      <c r="E15" s="53"/>
      <c r="F15" s="53"/>
      <c r="G15" s="52"/>
      <c r="H15" s="15" t="s">
        <v>195</v>
      </c>
      <c r="I15" s="21">
        <f>COUNTIF('3. Mũi- Bo truy van Master'!$B$5:$B$400,"C08*")+COUNTIF('3. Mũi- Bo truy van Master'!$B$5:$B$400,"C14*")</f>
        <v>34</v>
      </c>
      <c r="J15" s="21">
        <f>COUNTIFS('3. Mũi- Bo truy van Master'!$B$5:$B$400,"C08*",'3. Mũi- Bo truy van Master'!$I$5:$I$400,"CORE 80/20")+COUNTIFS('3. Mũi- Bo truy van Master'!$B$5:$B$400,"C14*",'3. Mũi- Bo truy van Master'!$I$5:$I$400,"CORE 80/20")</f>
        <v>27</v>
      </c>
      <c r="K15" s="34">
        <f>IFERROR((SUMIF('3. Mũi- Bo truy van Master'!$B$5:$B$400,"C08*",'3. Mũi- Bo truy van Master'!$L$5:$L$400)+SUMIF('3. Mũi- Bo truy van Master'!$B$5:$B$400,"C14*",'3. Mũi- Bo truy van Master'!$L$5:$L$400))/SUM('3. Mũi- Bo truy van Master'!$L$5:$L$400),0)</f>
        <v>0.1811899363</v>
      </c>
    </row>
    <row r="16" ht="39.75" customHeight="1">
      <c r="A16" s="58" t="s">
        <v>220</v>
      </c>
      <c r="B16" s="52"/>
      <c r="C16" s="59" t="s">
        <v>223</v>
      </c>
      <c r="D16" s="53"/>
      <c r="E16" s="53"/>
      <c r="F16" s="53"/>
      <c r="G16" s="52"/>
      <c r="H16" s="15" t="s">
        <v>227</v>
      </c>
      <c r="I16" s="21">
        <f>COUNTIF('3. Mũi- Bo truy van Master'!$B$5:$B$400,"C07*")</f>
        <v>16</v>
      </c>
      <c r="J16" s="21">
        <f>COUNTIFS('3. Mũi- Bo truy van Master'!$B$5:$B$400,"C07*",'3. Mũi- Bo truy van Master'!$I$5:$I$400,"CORE 80/20")</f>
        <v>11</v>
      </c>
      <c r="K16" s="34">
        <f>IFERROR((SUMIF('3. Mũi- Bo truy van Master'!$B$5:$B$400,"C07*",'3. Mũi- Bo truy van Master'!$L$5:$L$400))/SUM('3. Mũi- Bo truy van Master'!$L$5:$L$400),0)</f>
        <v>0.1221250405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14:B14"/>
    <mergeCell ref="A15:B15"/>
    <mergeCell ref="C15:G15"/>
    <mergeCell ref="A16:B16"/>
    <mergeCell ref="C16:G16"/>
    <mergeCell ref="A1:K1"/>
    <mergeCell ref="A2:K2"/>
    <mergeCell ref="A3:K3"/>
    <mergeCell ref="A12:K12"/>
    <mergeCell ref="A13:B13"/>
    <mergeCell ref="C13:G13"/>
    <mergeCell ref="C14:G14"/>
  </mergeCells>
  <printOptions/>
  <pageMargins bottom="1.0" footer="0.0" header="0.0" left="0.75" right="0.75"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49A3A"/>
    <pageSetUpPr fitToPage="1"/>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outlineLevelCol="1"/>
  <cols>
    <col customWidth="1" min="1" max="1" width="8.0"/>
    <col customWidth="1" min="2" max="2" width="30.0"/>
    <col customWidth="1" min="3" max="3" width="16.0"/>
    <col customWidth="1" min="4" max="4" width="58.0"/>
    <col customWidth="1" min="5" max="5" width="11.0"/>
    <col customWidth="1" min="6" max="6" width="9.0"/>
    <col customWidth="1" min="7" max="7" width="8.0"/>
    <col customWidth="1" min="8" max="8" width="9.0"/>
    <col customWidth="1" min="9" max="9" width="11.0"/>
    <col customWidth="1" min="10" max="10" width="15.0"/>
    <col customWidth="1" min="11" max="11" width="10.0"/>
    <col customWidth="1" min="12" max="12" width="9.0"/>
    <col customWidth="1" min="13" max="13" width="22.0"/>
    <col customWidth="1" min="14" max="14" width="60.0"/>
    <col customWidth="1" min="15" max="16" width="30.0"/>
    <col customWidth="1" min="17" max="17" width="3.0"/>
    <col customWidth="1" min="18" max="19" width="6.0"/>
    <col customWidth="1" min="20" max="20" width="30.0"/>
    <col customWidth="1" min="21" max="21" width="16.0"/>
    <col customWidth="1" min="22" max="22" width="9.0"/>
    <col customWidth="1" min="23" max="24" width="7.0"/>
    <col customWidth="1" min="25" max="25" width="9.0"/>
    <col customWidth="1" min="26" max="26" width="8.0"/>
    <col customWidth="1" min="27" max="27" width="9.0"/>
    <col customWidth="1" min="28" max="28" width="60.0"/>
  </cols>
  <sheetData>
    <row r="1" ht="30.0" customHeight="1">
      <c r="A1" s="2" t="s">
        <v>2</v>
      </c>
      <c r="B1" s="4"/>
      <c r="C1" s="4"/>
      <c r="D1" s="4"/>
      <c r="E1" s="4"/>
      <c r="F1" s="4"/>
      <c r="G1" s="4"/>
      <c r="H1" s="4"/>
      <c r="I1" s="4"/>
      <c r="J1" s="4"/>
      <c r="K1" s="4"/>
      <c r="L1" s="4"/>
      <c r="M1" s="4"/>
      <c r="N1" s="4"/>
      <c r="O1" s="4"/>
      <c r="P1" s="5"/>
      <c r="R1" s="8" t="s">
        <v>10</v>
      </c>
      <c r="S1" s="4"/>
      <c r="T1" s="4"/>
      <c r="U1" s="4"/>
      <c r="V1" s="4"/>
      <c r="W1" s="4"/>
      <c r="X1" s="4"/>
      <c r="Y1" s="4"/>
      <c r="Z1" s="4"/>
      <c r="AA1" s="4"/>
      <c r="AB1" s="5"/>
    </row>
    <row r="2" ht="33.75" customHeight="1">
      <c r="A2" s="7" t="str">
        <f>"262 truy vấn · 15 cụm · "&amp;COUNTIF($I$5:$I$266,"CORE 80/20")&amp;" truy vấn CORE 80/20 ("&amp;TEXT(COUNTIF($I$5:$I$266,"CORE 80/20")/COUNTA($A$5:$A$266),"0%")&amp;" bộ) chiếm "&amp;TEXT(SUMIF($I$5:$I$266,"CORE 80/20",$L$5:$L$266)/SUM($L$5:$L$266),"0%")&amp;" điểm ưu tiên · CORE xếp trên cùng theo thứ tự triển khai 90 ngày · Khuyến nghị cụm 80/20 ở bảng bên phải (cột R → AB)."</f>
        <v>262 truy vấn · 15 cụm · 70 truy vấn CORE 80/20 (27% bộ) chiếm 51% điểm ưu tiên · CORE xếp trên cùng theo thứ tự triển khai 90 ngày · Khuyến nghị cụm 80/20 ở bảng bên phải (cột R → AB).</v>
      </c>
      <c r="B2" s="4"/>
      <c r="C2" s="4"/>
      <c r="D2" s="4"/>
      <c r="E2" s="4"/>
      <c r="F2" s="4"/>
      <c r="G2" s="4"/>
      <c r="H2" s="4"/>
      <c r="I2" s="4"/>
      <c r="J2" s="4"/>
      <c r="K2" s="4"/>
      <c r="L2" s="4"/>
      <c r="M2" s="4"/>
      <c r="N2" s="4"/>
      <c r="O2" s="4"/>
      <c r="P2" s="5"/>
      <c r="R2" s="22" t="s">
        <v>52</v>
      </c>
    </row>
    <row r="3" ht="27.75" customHeight="1">
      <c r="A3" s="10" t="s">
        <v>55</v>
      </c>
    </row>
    <row r="4" ht="42.0" customHeight="1">
      <c r="A4" s="3" t="s">
        <v>3</v>
      </c>
      <c r="B4" s="3" t="s">
        <v>4</v>
      </c>
      <c r="C4" s="3" t="s">
        <v>5</v>
      </c>
      <c r="D4" s="3" t="s">
        <v>6</v>
      </c>
      <c r="E4" s="3" t="s">
        <v>8</v>
      </c>
      <c r="F4" s="3" t="s">
        <v>9</v>
      </c>
      <c r="G4" s="3" t="s">
        <v>11</v>
      </c>
      <c r="H4" s="3" t="s">
        <v>12</v>
      </c>
      <c r="I4" s="9" t="s">
        <v>14</v>
      </c>
      <c r="J4" s="9" t="s">
        <v>16</v>
      </c>
      <c r="K4" s="9" t="s">
        <v>17</v>
      </c>
      <c r="L4" s="9" t="s">
        <v>18</v>
      </c>
      <c r="M4" s="9" t="s">
        <v>20</v>
      </c>
      <c r="N4" s="3" t="s">
        <v>23</v>
      </c>
      <c r="O4" s="3" t="s">
        <v>25</v>
      </c>
      <c r="P4" s="3" t="s">
        <v>27</v>
      </c>
      <c r="R4" s="3" t="s">
        <v>63</v>
      </c>
      <c r="S4" s="3" t="s">
        <v>65</v>
      </c>
      <c r="T4" s="3" t="s">
        <v>67</v>
      </c>
      <c r="U4" s="3" t="s">
        <v>69</v>
      </c>
      <c r="V4" s="3" t="s">
        <v>72</v>
      </c>
      <c r="W4" s="3" t="s">
        <v>31</v>
      </c>
      <c r="X4" s="3" t="s">
        <v>33</v>
      </c>
      <c r="Y4" s="3" t="s">
        <v>74</v>
      </c>
      <c r="Z4" s="3" t="s">
        <v>35</v>
      </c>
      <c r="AA4" s="3" t="s">
        <v>75</v>
      </c>
      <c r="AB4" s="3" t="s">
        <v>76</v>
      </c>
    </row>
    <row r="5" ht="46.5" customHeight="1">
      <c r="A5" s="18" t="s">
        <v>78</v>
      </c>
      <c r="B5" s="17" t="s">
        <v>79</v>
      </c>
      <c r="C5" s="17" t="s">
        <v>80</v>
      </c>
      <c r="D5" s="36" t="s">
        <v>84</v>
      </c>
      <c r="E5" s="21" t="s">
        <v>87</v>
      </c>
      <c r="F5" s="21" t="s">
        <v>83</v>
      </c>
      <c r="G5" s="21" t="s">
        <v>85</v>
      </c>
      <c r="H5" s="21" t="s">
        <v>88</v>
      </c>
      <c r="I5" s="21" t="s">
        <v>91</v>
      </c>
      <c r="J5" s="17" t="str">
        <f t="shared" ref="J5:J266" si="1">IFERROR(INDEX($U$5:$U$19,MATCH(LEFT(B5,3),$S$5:$S$19,0)),"")</f>
        <v>A · CORE 80/20</v>
      </c>
      <c r="K5" s="21">
        <v>1.0</v>
      </c>
      <c r="L5" s="21">
        <f t="shared" ref="L5:L266" si="2">IF(H5="Cao",3,IF(H5="TB",2,1))*IF(F5="Hot",3,IF(F5="Warm",2,1))*(4-VALUE(RIGHT(G5,1)))*IFERROR(INDEX($V$5:$V$19,MATCH(LEFT(B5,3),$S$5:$S$19,0)),1)</f>
        <v>81</v>
      </c>
      <c r="M5" s="23" t="s">
        <v>111</v>
      </c>
      <c r="N5" s="17" t="s">
        <v>112</v>
      </c>
      <c r="O5" s="17" t="s">
        <v>109</v>
      </c>
      <c r="P5" s="17" t="s">
        <v>113</v>
      </c>
      <c r="R5" s="40">
        <v>1.0</v>
      </c>
      <c r="S5" s="38" t="s">
        <v>115</v>
      </c>
      <c r="T5" s="39" t="s">
        <v>79</v>
      </c>
      <c r="U5" s="37" t="s">
        <v>59</v>
      </c>
      <c r="V5" s="44">
        <v>3.0</v>
      </c>
      <c r="W5" s="40">
        <f t="shared" ref="W5:W19" si="3">COUNTIF($B$5:$B$266,S5&amp;"*")</f>
        <v>19</v>
      </c>
      <c r="X5" s="40">
        <f t="shared" ref="X5:X19" si="4">COUNTIFS($B$5:$B$266,S5&amp;"*",$I$5:$I$266,"CORE 80/20")</f>
        <v>15</v>
      </c>
      <c r="Y5" s="40">
        <f t="shared" ref="Y5:Y19" si="5">SUMIF($B$5:$B$266,S5&amp;"*",$L$5:$L$266)</f>
        <v>1431</v>
      </c>
      <c r="Z5" s="49">
        <f t="shared" ref="Z5:Z19" si="6">IFERROR(Y5/SUM($Y$5:$Y$19),0)</f>
        <v>0.1545189504</v>
      </c>
      <c r="AA5" s="41">
        <f t="shared" ref="AA5:AA19" si="7">SUM($Z$5:Z5)</f>
        <v>0.1545189504</v>
      </c>
      <c r="AB5" s="39" t="s">
        <v>146</v>
      </c>
    </row>
    <row r="6" ht="46.5" customHeight="1">
      <c r="A6" s="32" t="s">
        <v>147</v>
      </c>
      <c r="B6" s="28" t="s">
        <v>79</v>
      </c>
      <c r="C6" s="28" t="s">
        <v>80</v>
      </c>
      <c r="D6" s="56" t="s">
        <v>153</v>
      </c>
      <c r="E6" s="30" t="s">
        <v>157</v>
      </c>
      <c r="F6" s="30" t="s">
        <v>83</v>
      </c>
      <c r="G6" s="30" t="s">
        <v>85</v>
      </c>
      <c r="H6" s="30" t="s">
        <v>88</v>
      </c>
      <c r="I6" s="30" t="s">
        <v>91</v>
      </c>
      <c r="J6" s="28" t="str">
        <f t="shared" si="1"/>
        <v>A · CORE 80/20</v>
      </c>
      <c r="K6" s="30">
        <v>2.0</v>
      </c>
      <c r="L6" s="30">
        <f t="shared" si="2"/>
        <v>81</v>
      </c>
      <c r="M6" s="42" t="s">
        <v>167</v>
      </c>
      <c r="N6" s="28" t="s">
        <v>170</v>
      </c>
      <c r="O6" s="28" t="s">
        <v>109</v>
      </c>
      <c r="P6" s="28" t="s">
        <v>151</v>
      </c>
      <c r="R6" s="40">
        <v>2.0</v>
      </c>
      <c r="S6" s="38" t="s">
        <v>175</v>
      </c>
      <c r="T6" s="39" t="s">
        <v>177</v>
      </c>
      <c r="U6" s="37" t="s">
        <v>59</v>
      </c>
      <c r="V6" s="44">
        <v>3.0</v>
      </c>
      <c r="W6" s="40">
        <f t="shared" si="3"/>
        <v>20</v>
      </c>
      <c r="X6" s="40">
        <f t="shared" si="4"/>
        <v>17</v>
      </c>
      <c r="Y6" s="40">
        <f t="shared" si="5"/>
        <v>1296</v>
      </c>
      <c r="Z6" s="49">
        <f t="shared" si="6"/>
        <v>0.139941691</v>
      </c>
      <c r="AA6" s="41">
        <f t="shared" si="7"/>
        <v>0.2944606414</v>
      </c>
      <c r="AB6" s="39" t="s">
        <v>201</v>
      </c>
    </row>
    <row r="7" ht="46.5" customHeight="1">
      <c r="A7" s="18" t="s">
        <v>204</v>
      </c>
      <c r="B7" s="17" t="s">
        <v>79</v>
      </c>
      <c r="C7" s="17" t="s">
        <v>80</v>
      </c>
      <c r="D7" s="36" t="s">
        <v>210</v>
      </c>
      <c r="E7" s="21" t="s">
        <v>143</v>
      </c>
      <c r="F7" s="21" t="s">
        <v>83</v>
      </c>
      <c r="G7" s="21" t="s">
        <v>85</v>
      </c>
      <c r="H7" s="21" t="s">
        <v>88</v>
      </c>
      <c r="I7" s="21" t="s">
        <v>91</v>
      </c>
      <c r="J7" s="17" t="str">
        <f t="shared" si="1"/>
        <v>A · CORE 80/20</v>
      </c>
      <c r="K7" s="21">
        <v>3.0</v>
      </c>
      <c r="L7" s="21">
        <f t="shared" si="2"/>
        <v>81</v>
      </c>
      <c r="M7" s="23" t="s">
        <v>221</v>
      </c>
      <c r="N7" s="17" t="s">
        <v>224</v>
      </c>
      <c r="O7" s="17" t="s">
        <v>109</v>
      </c>
      <c r="P7" s="17" t="s">
        <v>151</v>
      </c>
      <c r="R7" s="40">
        <v>3.0</v>
      </c>
      <c r="S7" s="38" t="s">
        <v>227</v>
      </c>
      <c r="T7" s="39" t="s">
        <v>230</v>
      </c>
      <c r="U7" s="37" t="s">
        <v>59</v>
      </c>
      <c r="V7" s="44">
        <v>3.0</v>
      </c>
      <c r="W7" s="40">
        <f t="shared" si="3"/>
        <v>16</v>
      </c>
      <c r="X7" s="40">
        <f t="shared" si="4"/>
        <v>11</v>
      </c>
      <c r="Y7" s="40">
        <f t="shared" si="5"/>
        <v>1131</v>
      </c>
      <c r="Z7" s="49">
        <f t="shared" si="6"/>
        <v>0.1221250405</v>
      </c>
      <c r="AA7" s="41">
        <f t="shared" si="7"/>
        <v>0.4165856819</v>
      </c>
      <c r="AB7" s="39" t="s">
        <v>242</v>
      </c>
    </row>
    <row r="8" ht="46.5" customHeight="1">
      <c r="A8" s="32" t="s">
        <v>77</v>
      </c>
      <c r="B8" s="28" t="s">
        <v>79</v>
      </c>
      <c r="C8" s="28" t="s">
        <v>80</v>
      </c>
      <c r="D8" s="56" t="s">
        <v>245</v>
      </c>
      <c r="E8" s="30" t="s">
        <v>82</v>
      </c>
      <c r="F8" s="30" t="s">
        <v>83</v>
      </c>
      <c r="G8" s="30" t="s">
        <v>85</v>
      </c>
      <c r="H8" s="30" t="s">
        <v>88</v>
      </c>
      <c r="I8" s="30" t="s">
        <v>91</v>
      </c>
      <c r="J8" s="28" t="str">
        <f t="shared" si="1"/>
        <v>A · CORE 80/20</v>
      </c>
      <c r="K8" s="30">
        <v>4.0</v>
      </c>
      <c r="L8" s="30">
        <f t="shared" si="2"/>
        <v>81</v>
      </c>
      <c r="M8" s="42" t="s">
        <v>107</v>
      </c>
      <c r="N8" s="28" t="s">
        <v>108</v>
      </c>
      <c r="O8" s="28" t="s">
        <v>109</v>
      </c>
      <c r="P8" s="28" t="s">
        <v>110</v>
      </c>
      <c r="R8" s="40">
        <v>4.0</v>
      </c>
      <c r="S8" s="38" t="s">
        <v>251</v>
      </c>
      <c r="T8" s="39" t="s">
        <v>211</v>
      </c>
      <c r="U8" s="37" t="s">
        <v>59</v>
      </c>
      <c r="V8" s="44">
        <v>2.0</v>
      </c>
      <c r="W8" s="40">
        <f t="shared" si="3"/>
        <v>18</v>
      </c>
      <c r="X8" s="40">
        <f t="shared" si="4"/>
        <v>15</v>
      </c>
      <c r="Y8" s="40">
        <f t="shared" si="5"/>
        <v>918</v>
      </c>
      <c r="Z8" s="49">
        <f t="shared" si="6"/>
        <v>0.09912536443</v>
      </c>
      <c r="AA8" s="41">
        <f t="shared" si="7"/>
        <v>0.5157110463</v>
      </c>
      <c r="AB8" s="39" t="s">
        <v>258</v>
      </c>
    </row>
    <row r="9" ht="46.5" customHeight="1">
      <c r="A9" s="18" t="s">
        <v>259</v>
      </c>
      <c r="B9" s="17" t="s">
        <v>79</v>
      </c>
      <c r="C9" s="17" t="s">
        <v>80</v>
      </c>
      <c r="D9" s="36" t="s">
        <v>263</v>
      </c>
      <c r="E9" s="21" t="s">
        <v>264</v>
      </c>
      <c r="F9" s="21" t="s">
        <v>83</v>
      </c>
      <c r="G9" s="21" t="s">
        <v>85</v>
      </c>
      <c r="H9" s="21" t="s">
        <v>88</v>
      </c>
      <c r="I9" s="21" t="s">
        <v>91</v>
      </c>
      <c r="J9" s="17" t="str">
        <f t="shared" si="1"/>
        <v>A · CORE 80/20</v>
      </c>
      <c r="K9" s="21">
        <v>5.0</v>
      </c>
      <c r="L9" s="21">
        <f t="shared" si="2"/>
        <v>81</v>
      </c>
      <c r="M9" s="23" t="s">
        <v>269</v>
      </c>
      <c r="N9" s="17" t="s">
        <v>270</v>
      </c>
      <c r="O9" s="17" t="s">
        <v>109</v>
      </c>
      <c r="P9" s="17" t="s">
        <v>110</v>
      </c>
      <c r="R9" s="40">
        <v>5.0</v>
      </c>
      <c r="S9" s="38" t="s">
        <v>272</v>
      </c>
      <c r="T9" s="39" t="s">
        <v>181</v>
      </c>
      <c r="U9" s="37" t="s">
        <v>59</v>
      </c>
      <c r="V9" s="44">
        <v>2.0</v>
      </c>
      <c r="W9" s="40">
        <f t="shared" si="3"/>
        <v>16</v>
      </c>
      <c r="X9" s="40">
        <f t="shared" si="4"/>
        <v>12</v>
      </c>
      <c r="Y9" s="40">
        <f t="shared" si="5"/>
        <v>760</v>
      </c>
      <c r="Z9" s="49">
        <f t="shared" si="6"/>
        <v>0.08206457186</v>
      </c>
      <c r="AA9" s="41">
        <f t="shared" si="7"/>
        <v>0.5977756182</v>
      </c>
      <c r="AB9" s="39" t="s">
        <v>276</v>
      </c>
    </row>
    <row r="10" ht="46.5" customHeight="1">
      <c r="A10" s="32" t="s">
        <v>278</v>
      </c>
      <c r="B10" s="28" t="s">
        <v>79</v>
      </c>
      <c r="C10" s="28" t="s">
        <v>80</v>
      </c>
      <c r="D10" s="56" t="s">
        <v>280</v>
      </c>
      <c r="E10" s="30" t="s">
        <v>143</v>
      </c>
      <c r="F10" s="30" t="s">
        <v>83</v>
      </c>
      <c r="G10" s="30" t="s">
        <v>85</v>
      </c>
      <c r="H10" s="30" t="s">
        <v>88</v>
      </c>
      <c r="I10" s="30" t="s">
        <v>91</v>
      </c>
      <c r="J10" s="28" t="str">
        <f t="shared" si="1"/>
        <v>A · CORE 80/20</v>
      </c>
      <c r="K10" s="30">
        <v>6.0</v>
      </c>
      <c r="L10" s="30">
        <f t="shared" si="2"/>
        <v>81</v>
      </c>
      <c r="M10" s="42" t="s">
        <v>282</v>
      </c>
      <c r="N10" s="28" t="s">
        <v>283</v>
      </c>
      <c r="O10" s="28" t="s">
        <v>109</v>
      </c>
      <c r="P10" s="28" t="s">
        <v>151</v>
      </c>
      <c r="R10" s="21">
        <v>6.0</v>
      </c>
      <c r="S10" s="15" t="s">
        <v>106</v>
      </c>
      <c r="T10" s="17" t="s">
        <v>284</v>
      </c>
      <c r="U10" s="12" t="s">
        <v>89</v>
      </c>
      <c r="V10" s="44">
        <v>2.0</v>
      </c>
      <c r="W10" s="21">
        <f t="shared" si="3"/>
        <v>17</v>
      </c>
      <c r="X10" s="21">
        <f t="shared" si="4"/>
        <v>0</v>
      </c>
      <c r="Y10" s="21">
        <f t="shared" si="5"/>
        <v>672</v>
      </c>
      <c r="Z10" s="62">
        <f t="shared" si="6"/>
        <v>0.07256235828</v>
      </c>
      <c r="AA10" s="24">
        <f t="shared" si="7"/>
        <v>0.6703379765</v>
      </c>
      <c r="AB10" s="17" t="s">
        <v>285</v>
      </c>
    </row>
    <row r="11" ht="46.5" customHeight="1">
      <c r="A11" s="18" t="s">
        <v>155</v>
      </c>
      <c r="B11" s="17" t="s">
        <v>79</v>
      </c>
      <c r="C11" s="17" t="s">
        <v>80</v>
      </c>
      <c r="D11" s="36" t="s">
        <v>287</v>
      </c>
      <c r="E11" s="21" t="s">
        <v>157</v>
      </c>
      <c r="F11" s="21" t="s">
        <v>83</v>
      </c>
      <c r="G11" s="21" t="s">
        <v>85</v>
      </c>
      <c r="H11" s="21" t="s">
        <v>88</v>
      </c>
      <c r="I11" s="21" t="s">
        <v>91</v>
      </c>
      <c r="J11" s="17" t="str">
        <f t="shared" si="1"/>
        <v>A · CORE 80/20</v>
      </c>
      <c r="K11" s="21">
        <v>7.0</v>
      </c>
      <c r="L11" s="21">
        <f t="shared" si="2"/>
        <v>81</v>
      </c>
      <c r="M11" s="23" t="s">
        <v>169</v>
      </c>
      <c r="N11" s="17" t="s">
        <v>172</v>
      </c>
      <c r="O11" s="17" t="s">
        <v>109</v>
      </c>
      <c r="P11" s="17" t="s">
        <v>151</v>
      </c>
      <c r="R11" s="21">
        <v>7.0</v>
      </c>
      <c r="S11" s="15" t="s">
        <v>299</v>
      </c>
      <c r="T11" s="17" t="s">
        <v>300</v>
      </c>
      <c r="U11" s="12" t="s">
        <v>89</v>
      </c>
      <c r="V11" s="44">
        <v>2.0</v>
      </c>
      <c r="W11" s="21">
        <f t="shared" si="3"/>
        <v>18</v>
      </c>
      <c r="X11" s="21">
        <f t="shared" si="4"/>
        <v>0</v>
      </c>
      <c r="Y11" s="21">
        <f t="shared" si="5"/>
        <v>580</v>
      </c>
      <c r="Z11" s="62">
        <f t="shared" si="6"/>
        <v>0.06262822589</v>
      </c>
      <c r="AA11" s="24">
        <f t="shared" si="7"/>
        <v>0.7329662024</v>
      </c>
      <c r="AB11" s="17" t="s">
        <v>309</v>
      </c>
    </row>
    <row r="12" ht="46.5" customHeight="1">
      <c r="A12" s="32" t="s">
        <v>311</v>
      </c>
      <c r="B12" s="28" t="s">
        <v>79</v>
      </c>
      <c r="C12" s="28" t="s">
        <v>80</v>
      </c>
      <c r="D12" s="56" t="s">
        <v>312</v>
      </c>
      <c r="E12" s="30" t="s">
        <v>143</v>
      </c>
      <c r="F12" s="30" t="s">
        <v>83</v>
      </c>
      <c r="G12" s="30" t="s">
        <v>85</v>
      </c>
      <c r="H12" s="30" t="s">
        <v>88</v>
      </c>
      <c r="I12" s="30" t="s">
        <v>91</v>
      </c>
      <c r="J12" s="28" t="str">
        <f t="shared" si="1"/>
        <v>A · CORE 80/20</v>
      </c>
      <c r="K12" s="30">
        <v>8.0</v>
      </c>
      <c r="L12" s="30">
        <f t="shared" si="2"/>
        <v>81</v>
      </c>
      <c r="M12" s="42" t="s">
        <v>316</v>
      </c>
      <c r="N12" s="28" t="s">
        <v>318</v>
      </c>
      <c r="O12" s="28" t="s">
        <v>109</v>
      </c>
      <c r="P12" s="28" t="s">
        <v>110</v>
      </c>
      <c r="R12" s="21">
        <v>8.0</v>
      </c>
      <c r="S12" s="15" t="s">
        <v>319</v>
      </c>
      <c r="T12" s="17" t="s">
        <v>320</v>
      </c>
      <c r="U12" s="12" t="s">
        <v>89</v>
      </c>
      <c r="V12" s="44">
        <v>2.0</v>
      </c>
      <c r="W12" s="21">
        <f t="shared" si="3"/>
        <v>16</v>
      </c>
      <c r="X12" s="21">
        <f t="shared" si="4"/>
        <v>0</v>
      </c>
      <c r="Y12" s="21">
        <f t="shared" si="5"/>
        <v>562</v>
      </c>
      <c r="Z12" s="62">
        <f t="shared" si="6"/>
        <v>0.0606845913</v>
      </c>
      <c r="AA12" s="24">
        <f t="shared" si="7"/>
        <v>0.7936507937</v>
      </c>
      <c r="AB12" s="17" t="s">
        <v>327</v>
      </c>
    </row>
    <row r="13" ht="46.5" customHeight="1">
      <c r="A13" s="18" t="s">
        <v>141</v>
      </c>
      <c r="B13" s="17" t="s">
        <v>79</v>
      </c>
      <c r="C13" s="17" t="s">
        <v>80</v>
      </c>
      <c r="D13" s="36" t="s">
        <v>330</v>
      </c>
      <c r="E13" s="21" t="s">
        <v>143</v>
      </c>
      <c r="F13" s="21" t="s">
        <v>83</v>
      </c>
      <c r="G13" s="21" t="s">
        <v>85</v>
      </c>
      <c r="H13" s="21" t="s">
        <v>88</v>
      </c>
      <c r="I13" s="21" t="s">
        <v>91</v>
      </c>
      <c r="J13" s="17" t="str">
        <f t="shared" si="1"/>
        <v>A · CORE 80/20</v>
      </c>
      <c r="K13" s="21">
        <v>9.0</v>
      </c>
      <c r="L13" s="21">
        <f t="shared" si="2"/>
        <v>81</v>
      </c>
      <c r="M13" s="23" t="s">
        <v>148</v>
      </c>
      <c r="N13" s="17" t="s">
        <v>150</v>
      </c>
      <c r="O13" s="17" t="s">
        <v>109</v>
      </c>
      <c r="P13" s="17" t="s">
        <v>151</v>
      </c>
      <c r="R13" s="21">
        <v>9.0</v>
      </c>
      <c r="S13" s="15" t="s">
        <v>339</v>
      </c>
      <c r="T13" s="17" t="s">
        <v>341</v>
      </c>
      <c r="U13" s="12" t="s">
        <v>100</v>
      </c>
      <c r="V13" s="44">
        <v>2.0</v>
      </c>
      <c r="W13" s="21">
        <f t="shared" si="3"/>
        <v>16</v>
      </c>
      <c r="X13" s="21">
        <f t="shared" si="4"/>
        <v>0</v>
      </c>
      <c r="Y13" s="21">
        <f t="shared" si="5"/>
        <v>426</v>
      </c>
      <c r="Z13" s="62">
        <f t="shared" si="6"/>
        <v>0.04599935212</v>
      </c>
      <c r="AA13" s="24">
        <f t="shared" si="7"/>
        <v>0.8396501458</v>
      </c>
      <c r="AB13" s="17" t="s">
        <v>345</v>
      </c>
    </row>
    <row r="14" ht="46.5" customHeight="1">
      <c r="A14" s="32" t="s">
        <v>257</v>
      </c>
      <c r="B14" s="28" t="s">
        <v>79</v>
      </c>
      <c r="C14" s="28" t="s">
        <v>80</v>
      </c>
      <c r="D14" s="56" t="s">
        <v>348</v>
      </c>
      <c r="E14" s="30" t="s">
        <v>262</v>
      </c>
      <c r="F14" s="30" t="s">
        <v>83</v>
      </c>
      <c r="G14" s="30" t="s">
        <v>85</v>
      </c>
      <c r="H14" s="30" t="s">
        <v>88</v>
      </c>
      <c r="I14" s="30" t="s">
        <v>91</v>
      </c>
      <c r="J14" s="28" t="str">
        <f t="shared" si="1"/>
        <v>A · CORE 80/20</v>
      </c>
      <c r="K14" s="30">
        <v>10.0</v>
      </c>
      <c r="L14" s="30">
        <f t="shared" si="2"/>
        <v>81</v>
      </c>
      <c r="M14" s="42" t="s">
        <v>266</v>
      </c>
      <c r="N14" s="28" t="s">
        <v>267</v>
      </c>
      <c r="O14" s="28" t="s">
        <v>109</v>
      </c>
      <c r="P14" s="28" t="s">
        <v>151</v>
      </c>
      <c r="R14" s="21">
        <v>10.0</v>
      </c>
      <c r="S14" s="15" t="s">
        <v>354</v>
      </c>
      <c r="T14" s="17" t="s">
        <v>356</v>
      </c>
      <c r="U14" s="12" t="s">
        <v>89</v>
      </c>
      <c r="V14" s="44">
        <v>2.0</v>
      </c>
      <c r="W14" s="21">
        <f t="shared" si="3"/>
        <v>15</v>
      </c>
      <c r="X14" s="21">
        <f t="shared" si="4"/>
        <v>0</v>
      </c>
      <c r="Y14" s="21">
        <f t="shared" si="5"/>
        <v>420</v>
      </c>
      <c r="Z14" s="62">
        <f t="shared" si="6"/>
        <v>0.04535147392</v>
      </c>
      <c r="AA14" s="24">
        <f t="shared" si="7"/>
        <v>0.8850016197</v>
      </c>
      <c r="AB14" s="17" t="s">
        <v>360</v>
      </c>
    </row>
    <row r="15" ht="46.5" customHeight="1">
      <c r="A15" s="18" t="s">
        <v>361</v>
      </c>
      <c r="B15" s="17" t="s">
        <v>79</v>
      </c>
      <c r="C15" s="17" t="s">
        <v>80</v>
      </c>
      <c r="D15" s="36" t="s">
        <v>366</v>
      </c>
      <c r="E15" s="21" t="s">
        <v>343</v>
      </c>
      <c r="F15" s="21" t="s">
        <v>83</v>
      </c>
      <c r="G15" s="21" t="s">
        <v>85</v>
      </c>
      <c r="H15" s="21" t="s">
        <v>88</v>
      </c>
      <c r="I15" s="21" t="s">
        <v>91</v>
      </c>
      <c r="J15" s="17" t="str">
        <f t="shared" si="1"/>
        <v>A · CORE 80/20</v>
      </c>
      <c r="K15" s="21">
        <v>11.0</v>
      </c>
      <c r="L15" s="21">
        <f t="shared" si="2"/>
        <v>81</v>
      </c>
      <c r="M15" s="23" t="s">
        <v>370</v>
      </c>
      <c r="N15" s="17" t="s">
        <v>371</v>
      </c>
      <c r="O15" s="17" t="s">
        <v>347</v>
      </c>
      <c r="P15" s="17" t="s">
        <v>151</v>
      </c>
      <c r="R15" s="21">
        <v>11.0</v>
      </c>
      <c r="S15" s="15" t="s">
        <v>373</v>
      </c>
      <c r="T15" s="17" t="s">
        <v>374</v>
      </c>
      <c r="U15" s="12" t="s">
        <v>89</v>
      </c>
      <c r="V15" s="44">
        <v>1.0</v>
      </c>
      <c r="W15" s="21">
        <f t="shared" si="3"/>
        <v>20</v>
      </c>
      <c r="X15" s="21">
        <f t="shared" si="4"/>
        <v>0</v>
      </c>
      <c r="Y15" s="21">
        <f t="shared" si="5"/>
        <v>299</v>
      </c>
      <c r="Z15" s="62">
        <f t="shared" si="6"/>
        <v>0.03228593025</v>
      </c>
      <c r="AA15" s="24">
        <f t="shared" si="7"/>
        <v>0.9172875499</v>
      </c>
      <c r="AB15" s="17" t="s">
        <v>386</v>
      </c>
    </row>
    <row r="16" ht="46.5" customHeight="1">
      <c r="A16" s="32" t="s">
        <v>122</v>
      </c>
      <c r="B16" s="28" t="s">
        <v>79</v>
      </c>
      <c r="C16" s="28" t="s">
        <v>80</v>
      </c>
      <c r="D16" s="56" t="s">
        <v>392</v>
      </c>
      <c r="E16" s="30" t="s">
        <v>126</v>
      </c>
      <c r="F16" s="30" t="s">
        <v>83</v>
      </c>
      <c r="G16" s="30" t="s">
        <v>85</v>
      </c>
      <c r="H16" s="30" t="s">
        <v>88</v>
      </c>
      <c r="I16" s="30" t="s">
        <v>91</v>
      </c>
      <c r="J16" s="28" t="str">
        <f t="shared" si="1"/>
        <v>A · CORE 80/20</v>
      </c>
      <c r="K16" s="30">
        <v>12.0</v>
      </c>
      <c r="L16" s="30">
        <f t="shared" si="2"/>
        <v>81</v>
      </c>
      <c r="M16" s="42" t="s">
        <v>129</v>
      </c>
      <c r="N16" s="28" t="s">
        <v>132</v>
      </c>
      <c r="O16" s="28" t="s">
        <v>109</v>
      </c>
      <c r="P16" s="28" t="s">
        <v>136</v>
      </c>
      <c r="R16" s="21">
        <v>12.0</v>
      </c>
      <c r="S16" s="15" t="s">
        <v>124</v>
      </c>
      <c r="T16" s="17" t="s">
        <v>398</v>
      </c>
      <c r="U16" s="12" t="s">
        <v>100</v>
      </c>
      <c r="V16" s="44">
        <v>1.0</v>
      </c>
      <c r="W16" s="21">
        <f t="shared" si="3"/>
        <v>20</v>
      </c>
      <c r="X16" s="21">
        <f t="shared" si="4"/>
        <v>0</v>
      </c>
      <c r="Y16" s="21">
        <f t="shared" si="5"/>
        <v>231</v>
      </c>
      <c r="Z16" s="62">
        <f t="shared" si="6"/>
        <v>0.02494331066</v>
      </c>
      <c r="AA16" s="24">
        <f t="shared" si="7"/>
        <v>0.9422308606</v>
      </c>
      <c r="AB16" s="17" t="s">
        <v>404</v>
      </c>
    </row>
    <row r="17" ht="46.5" customHeight="1">
      <c r="A17" s="18" t="s">
        <v>313</v>
      </c>
      <c r="B17" s="17" t="s">
        <v>79</v>
      </c>
      <c r="C17" s="17" t="s">
        <v>80</v>
      </c>
      <c r="D17" s="36" t="s">
        <v>406</v>
      </c>
      <c r="E17" s="21" t="s">
        <v>315</v>
      </c>
      <c r="F17" s="21" t="s">
        <v>83</v>
      </c>
      <c r="G17" s="21" t="s">
        <v>85</v>
      </c>
      <c r="H17" s="21" t="s">
        <v>88</v>
      </c>
      <c r="I17" s="21" t="s">
        <v>91</v>
      </c>
      <c r="J17" s="17" t="str">
        <f t="shared" si="1"/>
        <v>A · CORE 80/20</v>
      </c>
      <c r="K17" s="21">
        <v>13.0</v>
      </c>
      <c r="L17" s="21">
        <f t="shared" si="2"/>
        <v>81</v>
      </c>
      <c r="M17" s="23" t="s">
        <v>321</v>
      </c>
      <c r="N17" s="17" t="s">
        <v>323</v>
      </c>
      <c r="O17" s="17" t="s">
        <v>109</v>
      </c>
      <c r="P17" s="17" t="s">
        <v>324</v>
      </c>
      <c r="R17" s="21">
        <v>13.0</v>
      </c>
      <c r="S17" s="15" t="s">
        <v>137</v>
      </c>
      <c r="T17" s="17" t="s">
        <v>414</v>
      </c>
      <c r="U17" s="12" t="s">
        <v>100</v>
      </c>
      <c r="V17" s="44">
        <v>1.0</v>
      </c>
      <c r="W17" s="21">
        <f t="shared" si="3"/>
        <v>14</v>
      </c>
      <c r="X17" s="21">
        <f t="shared" si="4"/>
        <v>0</v>
      </c>
      <c r="Y17" s="21">
        <f t="shared" si="5"/>
        <v>225</v>
      </c>
      <c r="Z17" s="62">
        <f t="shared" si="6"/>
        <v>0.02429543246</v>
      </c>
      <c r="AA17" s="24">
        <f t="shared" si="7"/>
        <v>0.9665262931</v>
      </c>
      <c r="AB17" s="17" t="s">
        <v>422</v>
      </c>
    </row>
    <row r="18" ht="46.5" customHeight="1">
      <c r="A18" s="32" t="s">
        <v>271</v>
      </c>
      <c r="B18" s="28" t="s">
        <v>79</v>
      </c>
      <c r="C18" s="28" t="s">
        <v>80</v>
      </c>
      <c r="D18" s="56" t="s">
        <v>425</v>
      </c>
      <c r="E18" s="30" t="s">
        <v>262</v>
      </c>
      <c r="F18" s="30" t="s">
        <v>83</v>
      </c>
      <c r="G18" s="30" t="s">
        <v>85</v>
      </c>
      <c r="H18" s="30" t="s">
        <v>88</v>
      </c>
      <c r="I18" s="30" t="s">
        <v>91</v>
      </c>
      <c r="J18" s="28" t="str">
        <f t="shared" si="1"/>
        <v>A · CORE 80/20</v>
      </c>
      <c r="K18" s="30">
        <v>14.0</v>
      </c>
      <c r="L18" s="30">
        <f t="shared" si="2"/>
        <v>81</v>
      </c>
      <c r="M18" s="42" t="s">
        <v>277</v>
      </c>
      <c r="N18" s="28" t="s">
        <v>279</v>
      </c>
      <c r="O18" s="28" t="s">
        <v>109</v>
      </c>
      <c r="P18" s="28" t="s">
        <v>151</v>
      </c>
      <c r="R18" s="21">
        <v>14.0</v>
      </c>
      <c r="S18" s="15" t="s">
        <v>430</v>
      </c>
      <c r="T18" s="17" t="s">
        <v>432</v>
      </c>
      <c r="U18" s="12" t="s">
        <v>119</v>
      </c>
      <c r="V18" s="44">
        <v>1.0</v>
      </c>
      <c r="W18" s="21">
        <f t="shared" si="3"/>
        <v>19</v>
      </c>
      <c r="X18" s="21">
        <f t="shared" si="4"/>
        <v>0</v>
      </c>
      <c r="Y18" s="21">
        <f t="shared" si="5"/>
        <v>176</v>
      </c>
      <c r="Z18" s="62">
        <f t="shared" si="6"/>
        <v>0.01900442717</v>
      </c>
      <c r="AA18" s="24">
        <f t="shared" si="7"/>
        <v>0.9855307202</v>
      </c>
      <c r="AB18" s="17" t="s">
        <v>438</v>
      </c>
    </row>
    <row r="19" ht="46.5" customHeight="1">
      <c r="A19" s="18" t="s">
        <v>249</v>
      </c>
      <c r="B19" s="17" t="s">
        <v>79</v>
      </c>
      <c r="C19" s="17" t="s">
        <v>80</v>
      </c>
      <c r="D19" s="36" t="s">
        <v>441</v>
      </c>
      <c r="E19" s="21" t="s">
        <v>215</v>
      </c>
      <c r="F19" s="21" t="s">
        <v>83</v>
      </c>
      <c r="G19" s="21" t="s">
        <v>85</v>
      </c>
      <c r="H19" s="21" t="s">
        <v>88</v>
      </c>
      <c r="I19" s="21" t="s">
        <v>91</v>
      </c>
      <c r="J19" s="17" t="str">
        <f t="shared" si="1"/>
        <v>A · CORE 80/20</v>
      </c>
      <c r="K19" s="21">
        <v>15.0</v>
      </c>
      <c r="L19" s="21">
        <f t="shared" si="2"/>
        <v>81</v>
      </c>
      <c r="M19" s="23" t="s">
        <v>253</v>
      </c>
      <c r="N19" s="17" t="s">
        <v>254</v>
      </c>
      <c r="O19" s="17" t="s">
        <v>255</v>
      </c>
      <c r="P19" s="17" t="s">
        <v>151</v>
      </c>
      <c r="R19" s="21">
        <v>15.0</v>
      </c>
      <c r="S19" s="15" t="s">
        <v>449</v>
      </c>
      <c r="T19" s="17" t="s">
        <v>450</v>
      </c>
      <c r="U19" s="12" t="s">
        <v>119</v>
      </c>
      <c r="V19" s="44">
        <v>1.0</v>
      </c>
      <c r="W19" s="21">
        <f t="shared" si="3"/>
        <v>18</v>
      </c>
      <c r="X19" s="21">
        <f t="shared" si="4"/>
        <v>0</v>
      </c>
      <c r="Y19" s="21">
        <f t="shared" si="5"/>
        <v>134</v>
      </c>
      <c r="Z19" s="62">
        <f t="shared" si="6"/>
        <v>0.01446927978</v>
      </c>
      <c r="AA19" s="24">
        <f t="shared" si="7"/>
        <v>1</v>
      </c>
      <c r="AB19" s="17" t="s">
        <v>457</v>
      </c>
    </row>
    <row r="20" ht="46.5" customHeight="1">
      <c r="A20" s="32" t="s">
        <v>233</v>
      </c>
      <c r="B20" s="28" t="s">
        <v>211</v>
      </c>
      <c r="C20" s="28" t="s">
        <v>80</v>
      </c>
      <c r="D20" s="56" t="s">
        <v>461</v>
      </c>
      <c r="E20" s="30" t="s">
        <v>87</v>
      </c>
      <c r="F20" s="30" t="s">
        <v>83</v>
      </c>
      <c r="G20" s="30" t="s">
        <v>85</v>
      </c>
      <c r="H20" s="30" t="s">
        <v>88</v>
      </c>
      <c r="I20" s="30" t="s">
        <v>91</v>
      </c>
      <c r="J20" s="28" t="str">
        <f t="shared" si="1"/>
        <v>A · CORE 80/20</v>
      </c>
      <c r="K20" s="30">
        <v>16.0</v>
      </c>
      <c r="L20" s="30">
        <f t="shared" si="2"/>
        <v>54</v>
      </c>
      <c r="M20" s="42" t="s">
        <v>244</v>
      </c>
      <c r="N20" s="28" t="s">
        <v>246</v>
      </c>
      <c r="O20" s="28" t="s">
        <v>247</v>
      </c>
      <c r="P20" s="28" t="s">
        <v>151</v>
      </c>
      <c r="R20" s="3"/>
      <c r="S20" s="3"/>
      <c r="T20" s="3" t="s">
        <v>468</v>
      </c>
      <c r="U20" s="3"/>
      <c r="V20" s="3"/>
      <c r="W20" s="3">
        <f t="shared" ref="W20:Y20" si="8">SUM(W5:W19)</f>
        <v>262</v>
      </c>
      <c r="X20" s="3">
        <f t="shared" si="8"/>
        <v>70</v>
      </c>
      <c r="Y20" s="3">
        <f t="shared" si="8"/>
        <v>9261</v>
      </c>
      <c r="Z20" s="3"/>
      <c r="AA20" s="3"/>
      <c r="AB20" s="3"/>
    </row>
    <row r="21" ht="46.5" customHeight="1">
      <c r="A21" s="18" t="s">
        <v>297</v>
      </c>
      <c r="B21" s="17" t="s">
        <v>211</v>
      </c>
      <c r="C21" s="17" t="s">
        <v>80</v>
      </c>
      <c r="D21" s="36" t="s">
        <v>479</v>
      </c>
      <c r="E21" s="21" t="s">
        <v>303</v>
      </c>
      <c r="F21" s="21" t="s">
        <v>83</v>
      </c>
      <c r="G21" s="21" t="s">
        <v>85</v>
      </c>
      <c r="H21" s="21" t="s">
        <v>88</v>
      </c>
      <c r="I21" s="21" t="s">
        <v>91</v>
      </c>
      <c r="J21" s="17" t="str">
        <f t="shared" si="1"/>
        <v>A · CORE 80/20</v>
      </c>
      <c r="K21" s="21">
        <v>17.0</v>
      </c>
      <c r="L21" s="21">
        <f t="shared" si="2"/>
        <v>54</v>
      </c>
      <c r="M21" s="23" t="s">
        <v>308</v>
      </c>
      <c r="N21" s="17" t="s">
        <v>310</v>
      </c>
      <c r="O21" s="17" t="s">
        <v>199</v>
      </c>
      <c r="P21" s="17" t="s">
        <v>151</v>
      </c>
    </row>
    <row r="22" ht="60.0" customHeight="1">
      <c r="A22" s="32" t="s">
        <v>368</v>
      </c>
      <c r="B22" s="28" t="s">
        <v>211</v>
      </c>
      <c r="C22" s="28" t="s">
        <v>80</v>
      </c>
      <c r="D22" s="56" t="s">
        <v>490</v>
      </c>
      <c r="E22" s="30" t="s">
        <v>303</v>
      </c>
      <c r="F22" s="30" t="s">
        <v>83</v>
      </c>
      <c r="G22" s="30" t="s">
        <v>85</v>
      </c>
      <c r="H22" s="30" t="s">
        <v>88</v>
      </c>
      <c r="I22" s="30" t="s">
        <v>91</v>
      </c>
      <c r="J22" s="28" t="str">
        <f t="shared" si="1"/>
        <v>A · CORE 80/20</v>
      </c>
      <c r="K22" s="30">
        <v>18.0</v>
      </c>
      <c r="L22" s="30">
        <f t="shared" si="2"/>
        <v>54</v>
      </c>
      <c r="M22" s="42" t="s">
        <v>376</v>
      </c>
      <c r="N22" s="28" t="s">
        <v>378</v>
      </c>
      <c r="O22" s="28" t="s">
        <v>355</v>
      </c>
      <c r="P22" s="28" t="s">
        <v>357</v>
      </c>
      <c r="R22" s="19" t="s">
        <v>500</v>
      </c>
      <c r="S22" s="4"/>
      <c r="T22" s="4"/>
      <c r="U22" s="4"/>
      <c r="V22" s="4"/>
      <c r="W22" s="4"/>
      <c r="X22" s="4"/>
      <c r="Y22" s="4"/>
      <c r="Z22" s="4"/>
      <c r="AA22" s="4"/>
      <c r="AB22" s="5"/>
    </row>
    <row r="23" ht="46.5" customHeight="1">
      <c r="A23" s="18" t="s">
        <v>384</v>
      </c>
      <c r="B23" s="17" t="s">
        <v>211</v>
      </c>
      <c r="C23" s="17" t="s">
        <v>80</v>
      </c>
      <c r="D23" s="36" t="s">
        <v>501</v>
      </c>
      <c r="E23" s="21" t="s">
        <v>185</v>
      </c>
      <c r="F23" s="21" t="s">
        <v>83</v>
      </c>
      <c r="G23" s="21" t="s">
        <v>85</v>
      </c>
      <c r="H23" s="21" t="s">
        <v>88</v>
      </c>
      <c r="I23" s="21" t="s">
        <v>91</v>
      </c>
      <c r="J23" s="17" t="str">
        <f t="shared" si="1"/>
        <v>A · CORE 80/20</v>
      </c>
      <c r="K23" s="21">
        <v>19.0</v>
      </c>
      <c r="L23" s="21">
        <f t="shared" si="2"/>
        <v>54</v>
      </c>
      <c r="M23" s="23" t="s">
        <v>396</v>
      </c>
      <c r="N23" s="17" t="s">
        <v>397</v>
      </c>
      <c r="O23" s="17" t="s">
        <v>355</v>
      </c>
      <c r="P23" s="17" t="s">
        <v>357</v>
      </c>
      <c r="T23" s="3" t="s">
        <v>51</v>
      </c>
      <c r="V23" s="3" t="s">
        <v>53</v>
      </c>
      <c r="W23" s="3" t="s">
        <v>511</v>
      </c>
      <c r="X23" s="3" t="s">
        <v>513</v>
      </c>
      <c r="Y23" s="3" t="s">
        <v>516</v>
      </c>
    </row>
    <row r="24" ht="46.5" customHeight="1">
      <c r="A24" s="32" t="s">
        <v>208</v>
      </c>
      <c r="B24" s="28" t="s">
        <v>211</v>
      </c>
      <c r="C24" s="28" t="s">
        <v>80</v>
      </c>
      <c r="D24" s="56" t="s">
        <v>518</v>
      </c>
      <c r="E24" s="30" t="s">
        <v>215</v>
      </c>
      <c r="F24" s="30" t="s">
        <v>83</v>
      </c>
      <c r="G24" s="30" t="s">
        <v>85</v>
      </c>
      <c r="H24" s="30" t="s">
        <v>88</v>
      </c>
      <c r="I24" s="30" t="s">
        <v>91</v>
      </c>
      <c r="J24" s="28" t="str">
        <f t="shared" si="1"/>
        <v>A · CORE 80/20</v>
      </c>
      <c r="K24" s="30">
        <v>20.0</v>
      </c>
      <c r="L24" s="30">
        <f t="shared" si="2"/>
        <v>54</v>
      </c>
      <c r="M24" s="42" t="s">
        <v>226</v>
      </c>
      <c r="N24" s="28" t="s">
        <v>228</v>
      </c>
      <c r="O24" s="28" t="s">
        <v>199</v>
      </c>
      <c r="P24" s="28" t="s">
        <v>136</v>
      </c>
      <c r="T24" s="72" t="s">
        <v>59</v>
      </c>
      <c r="V24" s="73">
        <f t="shared" ref="V24:V27" si="9">COUNTIF($U$5:$U$19,T24)</f>
        <v>5</v>
      </c>
      <c r="W24" s="73">
        <f t="shared" ref="W24:W27" si="10">COUNTIF($J$5:$J$266,T24)</f>
        <v>89</v>
      </c>
      <c r="X24" s="74">
        <f t="shared" ref="X24:X28" si="11">IFERROR(W24/COUNTA($A$5:$A$266),0)</f>
        <v>0.3396946565</v>
      </c>
      <c r="Y24" s="75">
        <f t="shared" ref="Y24:Y27" si="12">IFERROR(SUMIF($J$5:$J$266,T24,$L$5:$L$266)/SUM($L$5:$L$266),0)</f>
        <v>0.5977756182</v>
      </c>
    </row>
    <row r="25" ht="46.5" customHeight="1">
      <c r="A25" s="18" t="s">
        <v>507</v>
      </c>
      <c r="B25" s="17" t="s">
        <v>211</v>
      </c>
      <c r="C25" s="17" t="s">
        <v>80</v>
      </c>
      <c r="D25" s="36" t="s">
        <v>547</v>
      </c>
      <c r="E25" s="21" t="s">
        <v>185</v>
      </c>
      <c r="F25" s="21" t="s">
        <v>83</v>
      </c>
      <c r="G25" s="21" t="s">
        <v>85</v>
      </c>
      <c r="H25" s="21" t="s">
        <v>88</v>
      </c>
      <c r="I25" s="21" t="s">
        <v>91</v>
      </c>
      <c r="J25" s="17" t="str">
        <f t="shared" si="1"/>
        <v>A · CORE 80/20</v>
      </c>
      <c r="K25" s="21">
        <v>21.0</v>
      </c>
      <c r="L25" s="21">
        <f t="shared" si="2"/>
        <v>54</v>
      </c>
      <c r="M25" s="23" t="s">
        <v>514</v>
      </c>
      <c r="N25" s="17" t="s">
        <v>515</v>
      </c>
      <c r="O25" s="17" t="s">
        <v>199</v>
      </c>
      <c r="P25" s="17" t="s">
        <v>517</v>
      </c>
      <c r="T25" s="76" t="s">
        <v>89</v>
      </c>
      <c r="V25" s="77">
        <f t="shared" si="9"/>
        <v>5</v>
      </c>
      <c r="W25" s="77">
        <f t="shared" si="10"/>
        <v>86</v>
      </c>
      <c r="X25" s="78">
        <f t="shared" si="11"/>
        <v>0.3282442748</v>
      </c>
      <c r="Y25" s="79">
        <f t="shared" si="12"/>
        <v>0.2735125796</v>
      </c>
    </row>
    <row r="26" ht="46.5" customHeight="1">
      <c r="A26" s="32" t="s">
        <v>555</v>
      </c>
      <c r="B26" s="28" t="s">
        <v>211</v>
      </c>
      <c r="C26" s="28" t="s">
        <v>80</v>
      </c>
      <c r="D26" s="56" t="s">
        <v>562</v>
      </c>
      <c r="E26" s="30" t="s">
        <v>558</v>
      </c>
      <c r="F26" s="30" t="s">
        <v>83</v>
      </c>
      <c r="G26" s="30" t="s">
        <v>85</v>
      </c>
      <c r="H26" s="30" t="s">
        <v>88</v>
      </c>
      <c r="I26" s="30" t="s">
        <v>91</v>
      </c>
      <c r="J26" s="28" t="str">
        <f t="shared" si="1"/>
        <v>A · CORE 80/20</v>
      </c>
      <c r="K26" s="30">
        <v>22.0</v>
      </c>
      <c r="L26" s="30">
        <f t="shared" si="2"/>
        <v>54</v>
      </c>
      <c r="M26" s="42" t="s">
        <v>561</v>
      </c>
      <c r="N26" s="28" t="s">
        <v>563</v>
      </c>
      <c r="O26" s="28" t="s">
        <v>564</v>
      </c>
      <c r="P26" s="28" t="s">
        <v>113</v>
      </c>
      <c r="T26" s="76" t="s">
        <v>100</v>
      </c>
      <c r="V26" s="77">
        <f t="shared" si="9"/>
        <v>3</v>
      </c>
      <c r="W26" s="77">
        <f t="shared" si="10"/>
        <v>50</v>
      </c>
      <c r="X26" s="78">
        <f t="shared" si="11"/>
        <v>0.1908396947</v>
      </c>
      <c r="Y26" s="79">
        <f t="shared" si="12"/>
        <v>0.09523809524</v>
      </c>
    </row>
    <row r="27" ht="46.5" customHeight="1">
      <c r="A27" s="18" t="s">
        <v>571</v>
      </c>
      <c r="B27" s="17" t="s">
        <v>211</v>
      </c>
      <c r="C27" s="17" t="s">
        <v>80</v>
      </c>
      <c r="D27" s="36" t="s">
        <v>572</v>
      </c>
      <c r="E27" s="21" t="s">
        <v>303</v>
      </c>
      <c r="F27" s="21" t="s">
        <v>83</v>
      </c>
      <c r="G27" s="21" t="s">
        <v>85</v>
      </c>
      <c r="H27" s="21" t="s">
        <v>88</v>
      </c>
      <c r="I27" s="21" t="s">
        <v>91</v>
      </c>
      <c r="J27" s="17" t="str">
        <f t="shared" si="1"/>
        <v>A · CORE 80/20</v>
      </c>
      <c r="K27" s="21">
        <v>23.0</v>
      </c>
      <c r="L27" s="21">
        <f t="shared" si="2"/>
        <v>54</v>
      </c>
      <c r="M27" s="23" t="s">
        <v>579</v>
      </c>
      <c r="N27" s="17" t="s">
        <v>581</v>
      </c>
      <c r="O27" s="17" t="s">
        <v>199</v>
      </c>
      <c r="P27" s="17" t="s">
        <v>324</v>
      </c>
      <c r="T27" s="76" t="s">
        <v>119</v>
      </c>
      <c r="V27" s="77">
        <f t="shared" si="9"/>
        <v>2</v>
      </c>
      <c r="W27" s="77">
        <f t="shared" si="10"/>
        <v>37</v>
      </c>
      <c r="X27" s="78">
        <f t="shared" si="11"/>
        <v>0.141221374</v>
      </c>
      <c r="Y27" s="79">
        <f t="shared" si="12"/>
        <v>0.03347370694</v>
      </c>
    </row>
    <row r="28" ht="46.5" customHeight="1">
      <c r="A28" s="32" t="s">
        <v>587</v>
      </c>
      <c r="B28" s="28" t="s">
        <v>211</v>
      </c>
      <c r="C28" s="28" t="s">
        <v>80</v>
      </c>
      <c r="D28" s="56" t="s">
        <v>588</v>
      </c>
      <c r="E28" s="30" t="s">
        <v>589</v>
      </c>
      <c r="F28" s="30" t="s">
        <v>83</v>
      </c>
      <c r="G28" s="30" t="s">
        <v>85</v>
      </c>
      <c r="H28" s="30" t="s">
        <v>88</v>
      </c>
      <c r="I28" s="30" t="s">
        <v>91</v>
      </c>
      <c r="J28" s="28" t="str">
        <f t="shared" si="1"/>
        <v>A · CORE 80/20</v>
      </c>
      <c r="K28" s="30">
        <v>24.0</v>
      </c>
      <c r="L28" s="30">
        <f t="shared" si="2"/>
        <v>54</v>
      </c>
      <c r="M28" s="42" t="s">
        <v>593</v>
      </c>
      <c r="N28" s="28" t="s">
        <v>594</v>
      </c>
      <c r="O28" s="28" t="s">
        <v>199</v>
      </c>
      <c r="P28" s="28" t="s">
        <v>151</v>
      </c>
      <c r="T28" s="72" t="s">
        <v>138</v>
      </c>
      <c r="V28" s="73" t="s">
        <v>140</v>
      </c>
      <c r="W28" s="73">
        <f>COUNTIF($I$5:$I$266,"CORE 80/20")</f>
        <v>70</v>
      </c>
      <c r="X28" s="74">
        <f t="shared" si="11"/>
        <v>0.2671755725</v>
      </c>
      <c r="Y28" s="75">
        <f>IFERROR(SUMIF($I$5:$I$266,"CORE 80/20",$L$5:$L$266)/SUM($L$5:$L$266),0)</f>
        <v>0.5131195335</v>
      </c>
    </row>
    <row r="29" ht="46.5" customHeight="1">
      <c r="A29" s="18" t="s">
        <v>597</v>
      </c>
      <c r="B29" s="17" t="s">
        <v>211</v>
      </c>
      <c r="C29" s="17" t="s">
        <v>80</v>
      </c>
      <c r="D29" s="36" t="s">
        <v>598</v>
      </c>
      <c r="E29" s="21" t="s">
        <v>589</v>
      </c>
      <c r="F29" s="21" t="s">
        <v>83</v>
      </c>
      <c r="G29" s="21" t="s">
        <v>85</v>
      </c>
      <c r="H29" s="21" t="s">
        <v>88</v>
      </c>
      <c r="I29" s="21" t="s">
        <v>91</v>
      </c>
      <c r="J29" s="17" t="str">
        <f t="shared" si="1"/>
        <v>A · CORE 80/20</v>
      </c>
      <c r="K29" s="21">
        <v>25.0</v>
      </c>
      <c r="L29" s="21">
        <f t="shared" si="2"/>
        <v>54</v>
      </c>
      <c r="M29" s="23" t="s">
        <v>601</v>
      </c>
      <c r="N29" s="17" t="s">
        <v>602</v>
      </c>
      <c r="O29" s="17" t="s">
        <v>199</v>
      </c>
      <c r="P29" s="17" t="s">
        <v>324</v>
      </c>
    </row>
    <row r="30" ht="46.5" customHeight="1">
      <c r="A30" s="32" t="s">
        <v>603</v>
      </c>
      <c r="B30" s="28" t="s">
        <v>211</v>
      </c>
      <c r="C30" s="28" t="s">
        <v>80</v>
      </c>
      <c r="D30" s="56" t="s">
        <v>604</v>
      </c>
      <c r="E30" s="30" t="s">
        <v>303</v>
      </c>
      <c r="F30" s="30" t="s">
        <v>83</v>
      </c>
      <c r="G30" s="30" t="s">
        <v>85</v>
      </c>
      <c r="H30" s="30" t="s">
        <v>88</v>
      </c>
      <c r="I30" s="30" t="s">
        <v>91</v>
      </c>
      <c r="J30" s="28" t="str">
        <f t="shared" si="1"/>
        <v>A · CORE 80/20</v>
      </c>
      <c r="K30" s="30">
        <v>26.0</v>
      </c>
      <c r="L30" s="30">
        <f t="shared" si="2"/>
        <v>54</v>
      </c>
      <c r="M30" s="42" t="s">
        <v>607</v>
      </c>
      <c r="N30" s="28" t="s">
        <v>608</v>
      </c>
      <c r="O30" s="28" t="s">
        <v>355</v>
      </c>
      <c r="P30" s="28" t="s">
        <v>357</v>
      </c>
      <c r="R30" s="93" t="s">
        <v>610</v>
      </c>
      <c r="S30" s="94"/>
      <c r="T30" s="94"/>
      <c r="U30" s="94"/>
      <c r="V30" s="94"/>
      <c r="W30" s="94"/>
      <c r="X30" s="94"/>
      <c r="Y30" s="94"/>
      <c r="Z30" s="94"/>
      <c r="AA30" s="94"/>
      <c r="AB30" s="95"/>
    </row>
    <row r="31" ht="46.5" customHeight="1">
      <c r="A31" s="18" t="s">
        <v>544</v>
      </c>
      <c r="B31" s="17" t="s">
        <v>211</v>
      </c>
      <c r="C31" s="17" t="s">
        <v>80</v>
      </c>
      <c r="D31" s="36" t="s">
        <v>614</v>
      </c>
      <c r="E31" s="21" t="s">
        <v>87</v>
      </c>
      <c r="F31" s="21" t="s">
        <v>83</v>
      </c>
      <c r="G31" s="21" t="s">
        <v>85</v>
      </c>
      <c r="H31" s="21" t="s">
        <v>88</v>
      </c>
      <c r="I31" s="21" t="s">
        <v>91</v>
      </c>
      <c r="J31" s="17" t="str">
        <f t="shared" si="1"/>
        <v>A · CORE 80/20</v>
      </c>
      <c r="K31" s="21">
        <v>27.0</v>
      </c>
      <c r="L31" s="21">
        <f t="shared" si="2"/>
        <v>54</v>
      </c>
      <c r="M31" s="23" t="s">
        <v>467</v>
      </c>
      <c r="N31" s="17" t="s">
        <v>548</v>
      </c>
      <c r="O31" s="17" t="s">
        <v>247</v>
      </c>
      <c r="P31" s="17" t="s">
        <v>550</v>
      </c>
      <c r="R31" s="96"/>
      <c r="AB31" s="97"/>
    </row>
    <row r="32" ht="46.5" customHeight="1">
      <c r="A32" s="32" t="s">
        <v>412</v>
      </c>
      <c r="B32" s="28" t="s">
        <v>211</v>
      </c>
      <c r="C32" s="28" t="s">
        <v>80</v>
      </c>
      <c r="D32" s="56" t="s">
        <v>620</v>
      </c>
      <c r="E32" s="30" t="s">
        <v>303</v>
      </c>
      <c r="F32" s="30" t="s">
        <v>83</v>
      </c>
      <c r="G32" s="30" t="s">
        <v>85</v>
      </c>
      <c r="H32" s="30" t="s">
        <v>88</v>
      </c>
      <c r="I32" s="30" t="s">
        <v>91</v>
      </c>
      <c r="J32" s="28" t="str">
        <f t="shared" si="1"/>
        <v>A · CORE 80/20</v>
      </c>
      <c r="K32" s="30">
        <v>28.0</v>
      </c>
      <c r="L32" s="30">
        <f t="shared" si="2"/>
        <v>54</v>
      </c>
      <c r="M32" s="42" t="s">
        <v>417</v>
      </c>
      <c r="N32" s="28" t="s">
        <v>420</v>
      </c>
      <c r="O32" s="28" t="s">
        <v>247</v>
      </c>
      <c r="P32" s="28" t="s">
        <v>151</v>
      </c>
      <c r="R32" s="96"/>
      <c r="AB32" s="97"/>
    </row>
    <row r="33" ht="46.5" customHeight="1">
      <c r="A33" s="18" t="s">
        <v>626</v>
      </c>
      <c r="B33" s="17" t="s">
        <v>211</v>
      </c>
      <c r="C33" s="17" t="s">
        <v>80</v>
      </c>
      <c r="D33" s="36" t="s">
        <v>627</v>
      </c>
      <c r="E33" s="21" t="s">
        <v>126</v>
      </c>
      <c r="F33" s="21" t="s">
        <v>83</v>
      </c>
      <c r="G33" s="21" t="s">
        <v>85</v>
      </c>
      <c r="H33" s="21" t="s">
        <v>88</v>
      </c>
      <c r="I33" s="21" t="s">
        <v>91</v>
      </c>
      <c r="J33" s="17" t="str">
        <f t="shared" si="1"/>
        <v>A · CORE 80/20</v>
      </c>
      <c r="K33" s="21">
        <v>29.0</v>
      </c>
      <c r="L33" s="21">
        <f t="shared" si="2"/>
        <v>54</v>
      </c>
      <c r="M33" s="23" t="s">
        <v>630</v>
      </c>
      <c r="N33" s="17" t="s">
        <v>631</v>
      </c>
      <c r="O33" s="17" t="s">
        <v>247</v>
      </c>
      <c r="P33" s="17" t="s">
        <v>151</v>
      </c>
      <c r="R33" s="96"/>
      <c r="AB33" s="97"/>
    </row>
    <row r="34" ht="46.5" customHeight="1">
      <c r="A34" s="32" t="s">
        <v>615</v>
      </c>
      <c r="B34" s="28" t="s">
        <v>211</v>
      </c>
      <c r="C34" s="28" t="s">
        <v>80</v>
      </c>
      <c r="D34" s="56" t="s">
        <v>633</v>
      </c>
      <c r="E34" s="30" t="s">
        <v>303</v>
      </c>
      <c r="F34" s="30" t="s">
        <v>83</v>
      </c>
      <c r="G34" s="30" t="s">
        <v>85</v>
      </c>
      <c r="H34" s="30" t="s">
        <v>88</v>
      </c>
      <c r="I34" s="30" t="s">
        <v>91</v>
      </c>
      <c r="J34" s="28" t="str">
        <f t="shared" si="1"/>
        <v>A · CORE 80/20</v>
      </c>
      <c r="K34" s="30">
        <v>30.0</v>
      </c>
      <c r="L34" s="30">
        <f t="shared" si="2"/>
        <v>54</v>
      </c>
      <c r="M34" s="42" t="s">
        <v>617</v>
      </c>
      <c r="N34" s="28" t="s">
        <v>618</v>
      </c>
      <c r="O34" s="28" t="s">
        <v>199</v>
      </c>
      <c r="P34" s="28" t="s">
        <v>619</v>
      </c>
      <c r="R34" s="98"/>
      <c r="S34" s="99"/>
      <c r="T34" s="99"/>
      <c r="U34" s="99"/>
      <c r="V34" s="99"/>
      <c r="W34" s="99"/>
      <c r="X34" s="99"/>
      <c r="Y34" s="99"/>
      <c r="Z34" s="99"/>
      <c r="AA34" s="99"/>
      <c r="AB34" s="100"/>
    </row>
    <row r="35" ht="46.5" customHeight="1">
      <c r="A35" s="18" t="s">
        <v>179</v>
      </c>
      <c r="B35" s="17" t="s">
        <v>181</v>
      </c>
      <c r="C35" s="17" t="s">
        <v>80</v>
      </c>
      <c r="D35" s="36" t="s">
        <v>635</v>
      </c>
      <c r="E35" s="21" t="s">
        <v>185</v>
      </c>
      <c r="F35" s="21" t="s">
        <v>83</v>
      </c>
      <c r="G35" s="21" t="s">
        <v>85</v>
      </c>
      <c r="H35" s="21" t="s">
        <v>88</v>
      </c>
      <c r="I35" s="21" t="s">
        <v>91</v>
      </c>
      <c r="J35" s="17" t="str">
        <f t="shared" si="1"/>
        <v>A · CORE 80/20</v>
      </c>
      <c r="K35" s="21">
        <v>31.0</v>
      </c>
      <c r="L35" s="21">
        <f t="shared" si="2"/>
        <v>54</v>
      </c>
      <c r="M35" s="23" t="s">
        <v>194</v>
      </c>
      <c r="N35" s="17" t="s">
        <v>197</v>
      </c>
      <c r="O35" s="17" t="s">
        <v>199</v>
      </c>
      <c r="P35" s="17" t="s">
        <v>203</v>
      </c>
    </row>
    <row r="36" ht="33.0" customHeight="1">
      <c r="A36" s="32" t="s">
        <v>462</v>
      </c>
      <c r="B36" s="28" t="s">
        <v>181</v>
      </c>
      <c r="C36" s="28" t="s">
        <v>80</v>
      </c>
      <c r="D36" s="56" t="s">
        <v>637</v>
      </c>
      <c r="E36" s="30" t="s">
        <v>185</v>
      </c>
      <c r="F36" s="30" t="s">
        <v>83</v>
      </c>
      <c r="G36" s="30" t="s">
        <v>85</v>
      </c>
      <c r="H36" s="30" t="s">
        <v>88</v>
      </c>
      <c r="I36" s="30" t="s">
        <v>91</v>
      </c>
      <c r="J36" s="28" t="str">
        <f t="shared" si="1"/>
        <v>A · CORE 80/20</v>
      </c>
      <c r="K36" s="30">
        <v>32.0</v>
      </c>
      <c r="L36" s="30">
        <f t="shared" si="2"/>
        <v>54</v>
      </c>
      <c r="M36" s="42" t="s">
        <v>467</v>
      </c>
      <c r="N36" s="28" t="s">
        <v>469</v>
      </c>
      <c r="O36" s="28" t="s">
        <v>247</v>
      </c>
      <c r="P36" s="28" t="s">
        <v>470</v>
      </c>
    </row>
    <row r="37" ht="46.5" customHeight="1">
      <c r="A37" s="18" t="s">
        <v>448</v>
      </c>
      <c r="B37" s="17" t="s">
        <v>181</v>
      </c>
      <c r="C37" s="17" t="s">
        <v>80</v>
      </c>
      <c r="D37" s="36" t="s">
        <v>639</v>
      </c>
      <c r="E37" s="21" t="s">
        <v>185</v>
      </c>
      <c r="F37" s="21" t="s">
        <v>83</v>
      </c>
      <c r="G37" s="21" t="s">
        <v>85</v>
      </c>
      <c r="H37" s="21" t="s">
        <v>88</v>
      </c>
      <c r="I37" s="21" t="s">
        <v>91</v>
      </c>
      <c r="J37" s="17" t="str">
        <f t="shared" si="1"/>
        <v>A · CORE 80/20</v>
      </c>
      <c r="K37" s="21">
        <v>33.0</v>
      </c>
      <c r="L37" s="21">
        <f t="shared" si="2"/>
        <v>54</v>
      </c>
      <c r="M37" s="23" t="s">
        <v>454</v>
      </c>
      <c r="N37" s="17" t="s">
        <v>456</v>
      </c>
      <c r="O37" s="17" t="s">
        <v>355</v>
      </c>
      <c r="P37" s="17" t="s">
        <v>357</v>
      </c>
    </row>
    <row r="38" ht="46.5" customHeight="1">
      <c r="A38" s="32" t="s">
        <v>349</v>
      </c>
      <c r="B38" s="28" t="s">
        <v>181</v>
      </c>
      <c r="C38" s="28" t="s">
        <v>80</v>
      </c>
      <c r="D38" s="56" t="s">
        <v>641</v>
      </c>
      <c r="E38" s="30" t="s">
        <v>185</v>
      </c>
      <c r="F38" s="30" t="s">
        <v>83</v>
      </c>
      <c r="G38" s="30" t="s">
        <v>85</v>
      </c>
      <c r="H38" s="30" t="s">
        <v>88</v>
      </c>
      <c r="I38" s="30" t="s">
        <v>91</v>
      </c>
      <c r="J38" s="28" t="str">
        <f t="shared" si="1"/>
        <v>A · CORE 80/20</v>
      </c>
      <c r="K38" s="30">
        <v>34.0</v>
      </c>
      <c r="L38" s="30">
        <f t="shared" si="2"/>
        <v>54</v>
      </c>
      <c r="M38" s="42" t="s">
        <v>352</v>
      </c>
      <c r="N38" s="28" t="s">
        <v>353</v>
      </c>
      <c r="O38" s="28" t="s">
        <v>355</v>
      </c>
      <c r="P38" s="28" t="s">
        <v>357</v>
      </c>
    </row>
    <row r="39" ht="46.5" customHeight="1">
      <c r="A39" s="18" t="s">
        <v>399</v>
      </c>
      <c r="B39" s="17" t="s">
        <v>181</v>
      </c>
      <c r="C39" s="17" t="s">
        <v>80</v>
      </c>
      <c r="D39" s="36" t="s">
        <v>644</v>
      </c>
      <c r="E39" s="21" t="s">
        <v>185</v>
      </c>
      <c r="F39" s="21" t="s">
        <v>83</v>
      </c>
      <c r="G39" s="21" t="s">
        <v>85</v>
      </c>
      <c r="H39" s="21" t="s">
        <v>88</v>
      </c>
      <c r="I39" s="21" t="s">
        <v>91</v>
      </c>
      <c r="J39" s="17" t="str">
        <f t="shared" si="1"/>
        <v>A · CORE 80/20</v>
      </c>
      <c r="K39" s="21">
        <v>35.0</v>
      </c>
      <c r="L39" s="21">
        <f t="shared" si="2"/>
        <v>54</v>
      </c>
      <c r="M39" s="23" t="s">
        <v>407</v>
      </c>
      <c r="N39" s="17" t="s">
        <v>408</v>
      </c>
      <c r="O39" s="17" t="s">
        <v>355</v>
      </c>
      <c r="P39" s="17" t="s">
        <v>409</v>
      </c>
    </row>
    <row r="40" ht="46.5" customHeight="1">
      <c r="A40" s="32" t="s">
        <v>519</v>
      </c>
      <c r="B40" s="28" t="s">
        <v>181</v>
      </c>
      <c r="C40" s="28" t="s">
        <v>80</v>
      </c>
      <c r="D40" s="56" t="s">
        <v>648</v>
      </c>
      <c r="E40" s="30" t="s">
        <v>303</v>
      </c>
      <c r="F40" s="30" t="s">
        <v>83</v>
      </c>
      <c r="G40" s="30" t="s">
        <v>85</v>
      </c>
      <c r="H40" s="30" t="s">
        <v>88</v>
      </c>
      <c r="I40" s="30" t="s">
        <v>91</v>
      </c>
      <c r="J40" s="28" t="str">
        <f t="shared" si="1"/>
        <v>A · CORE 80/20</v>
      </c>
      <c r="K40" s="30">
        <v>36.0</v>
      </c>
      <c r="L40" s="30">
        <f t="shared" si="2"/>
        <v>54</v>
      </c>
      <c r="M40" s="42" t="s">
        <v>527</v>
      </c>
      <c r="N40" s="28" t="s">
        <v>528</v>
      </c>
      <c r="O40" s="28" t="s">
        <v>247</v>
      </c>
      <c r="P40" s="28" t="s">
        <v>529</v>
      </c>
    </row>
    <row r="41" ht="46.5" customHeight="1">
      <c r="A41" s="18" t="s">
        <v>496</v>
      </c>
      <c r="B41" s="17" t="s">
        <v>181</v>
      </c>
      <c r="C41" s="17" t="s">
        <v>80</v>
      </c>
      <c r="D41" s="36" t="s">
        <v>654</v>
      </c>
      <c r="E41" s="21" t="s">
        <v>126</v>
      </c>
      <c r="F41" s="21" t="s">
        <v>83</v>
      </c>
      <c r="G41" s="21" t="s">
        <v>85</v>
      </c>
      <c r="H41" s="21" t="s">
        <v>88</v>
      </c>
      <c r="I41" s="21" t="s">
        <v>91</v>
      </c>
      <c r="J41" s="17" t="str">
        <f t="shared" si="1"/>
        <v>A · CORE 80/20</v>
      </c>
      <c r="K41" s="21">
        <v>37.0</v>
      </c>
      <c r="L41" s="21">
        <f t="shared" si="2"/>
        <v>54</v>
      </c>
      <c r="M41" s="23" t="s">
        <v>129</v>
      </c>
      <c r="N41" s="17" t="s">
        <v>502</v>
      </c>
      <c r="O41" s="17" t="s">
        <v>109</v>
      </c>
      <c r="P41" s="17" t="s">
        <v>136</v>
      </c>
    </row>
    <row r="42" ht="46.5" customHeight="1">
      <c r="A42" s="32" t="s">
        <v>434</v>
      </c>
      <c r="B42" s="28" t="s">
        <v>181</v>
      </c>
      <c r="C42" s="28" t="s">
        <v>80</v>
      </c>
      <c r="D42" s="56" t="s">
        <v>670</v>
      </c>
      <c r="E42" s="30" t="s">
        <v>87</v>
      </c>
      <c r="F42" s="30" t="s">
        <v>83</v>
      </c>
      <c r="G42" s="30" t="s">
        <v>85</v>
      </c>
      <c r="H42" s="30" t="s">
        <v>88</v>
      </c>
      <c r="I42" s="30" t="s">
        <v>91</v>
      </c>
      <c r="J42" s="28" t="str">
        <f t="shared" si="1"/>
        <v>A · CORE 80/20</v>
      </c>
      <c r="K42" s="30">
        <v>38.0</v>
      </c>
      <c r="L42" s="30">
        <f t="shared" si="2"/>
        <v>54</v>
      </c>
      <c r="M42" s="42" t="s">
        <v>443</v>
      </c>
      <c r="N42" s="28" t="s">
        <v>445</v>
      </c>
      <c r="O42" s="28" t="s">
        <v>247</v>
      </c>
      <c r="P42" s="28" t="s">
        <v>151</v>
      </c>
    </row>
    <row r="43" ht="46.5" customHeight="1">
      <c r="A43" s="18" t="s">
        <v>423</v>
      </c>
      <c r="B43" s="17" t="s">
        <v>181</v>
      </c>
      <c r="C43" s="17" t="s">
        <v>80</v>
      </c>
      <c r="D43" s="36" t="s">
        <v>675</v>
      </c>
      <c r="E43" s="21" t="s">
        <v>427</v>
      </c>
      <c r="F43" s="21" t="s">
        <v>83</v>
      </c>
      <c r="G43" s="21" t="s">
        <v>85</v>
      </c>
      <c r="H43" s="21" t="s">
        <v>88</v>
      </c>
      <c r="I43" s="21" t="s">
        <v>91</v>
      </c>
      <c r="J43" s="17" t="str">
        <f t="shared" si="1"/>
        <v>A · CORE 80/20</v>
      </c>
      <c r="K43" s="21">
        <v>39.0</v>
      </c>
      <c r="L43" s="21">
        <f t="shared" si="2"/>
        <v>54</v>
      </c>
      <c r="M43" s="23" t="s">
        <v>431</v>
      </c>
      <c r="N43" s="17" t="s">
        <v>433</v>
      </c>
      <c r="O43" s="17" t="s">
        <v>247</v>
      </c>
      <c r="P43" s="17" t="s">
        <v>151</v>
      </c>
    </row>
    <row r="44" ht="46.5" customHeight="1">
      <c r="A44" s="32" t="s">
        <v>532</v>
      </c>
      <c r="B44" s="28" t="s">
        <v>181</v>
      </c>
      <c r="C44" s="28" t="s">
        <v>80</v>
      </c>
      <c r="D44" s="56" t="s">
        <v>687</v>
      </c>
      <c r="E44" s="30" t="s">
        <v>215</v>
      </c>
      <c r="F44" s="30" t="s">
        <v>83</v>
      </c>
      <c r="G44" s="30" t="s">
        <v>85</v>
      </c>
      <c r="H44" s="30" t="s">
        <v>88</v>
      </c>
      <c r="I44" s="30" t="s">
        <v>91</v>
      </c>
      <c r="J44" s="28" t="str">
        <f t="shared" si="1"/>
        <v>A · CORE 80/20</v>
      </c>
      <c r="K44" s="30">
        <v>40.0</v>
      </c>
      <c r="L44" s="30">
        <f t="shared" si="2"/>
        <v>54</v>
      </c>
      <c r="M44" s="42" t="s">
        <v>538</v>
      </c>
      <c r="N44" s="28" t="s">
        <v>540</v>
      </c>
      <c r="O44" s="28" t="s">
        <v>199</v>
      </c>
      <c r="P44" s="28" t="s">
        <v>136</v>
      </c>
    </row>
    <row r="45" ht="46.5" customHeight="1">
      <c r="A45" s="18" t="s">
        <v>485</v>
      </c>
      <c r="B45" s="17" t="s">
        <v>181</v>
      </c>
      <c r="C45" s="17" t="s">
        <v>80</v>
      </c>
      <c r="D45" s="36" t="s">
        <v>701</v>
      </c>
      <c r="E45" s="21" t="s">
        <v>343</v>
      </c>
      <c r="F45" s="21" t="s">
        <v>83</v>
      </c>
      <c r="G45" s="21" t="s">
        <v>85</v>
      </c>
      <c r="H45" s="21" t="s">
        <v>88</v>
      </c>
      <c r="I45" s="21" t="s">
        <v>91</v>
      </c>
      <c r="J45" s="17" t="str">
        <f t="shared" si="1"/>
        <v>A · CORE 80/20</v>
      </c>
      <c r="K45" s="21">
        <v>41.0</v>
      </c>
      <c r="L45" s="21">
        <f t="shared" si="2"/>
        <v>54</v>
      </c>
      <c r="M45" s="23" t="s">
        <v>493</v>
      </c>
      <c r="N45" s="17" t="s">
        <v>494</v>
      </c>
      <c r="O45" s="17" t="s">
        <v>347</v>
      </c>
      <c r="P45" s="17" t="s">
        <v>151</v>
      </c>
    </row>
    <row r="46" ht="33.0" customHeight="1">
      <c r="A46" s="32" t="s">
        <v>472</v>
      </c>
      <c r="B46" s="28" t="s">
        <v>181</v>
      </c>
      <c r="C46" s="28" t="s">
        <v>80</v>
      </c>
      <c r="D46" s="56" t="s">
        <v>712</v>
      </c>
      <c r="E46" s="30" t="s">
        <v>303</v>
      </c>
      <c r="F46" s="30" t="s">
        <v>83</v>
      </c>
      <c r="G46" s="30" t="s">
        <v>85</v>
      </c>
      <c r="H46" s="30" t="s">
        <v>88</v>
      </c>
      <c r="I46" s="30" t="s">
        <v>91</v>
      </c>
      <c r="J46" s="28" t="str">
        <f t="shared" si="1"/>
        <v>A · CORE 80/20</v>
      </c>
      <c r="K46" s="30">
        <v>42.0</v>
      </c>
      <c r="L46" s="30">
        <f t="shared" si="2"/>
        <v>54</v>
      </c>
      <c r="M46" s="42" t="s">
        <v>480</v>
      </c>
      <c r="N46" s="28" t="s">
        <v>481</v>
      </c>
      <c r="O46" s="28" t="s">
        <v>199</v>
      </c>
      <c r="P46" s="28" t="s">
        <v>484</v>
      </c>
    </row>
    <row r="47" ht="46.5" customHeight="1">
      <c r="A47" s="18" t="s">
        <v>606</v>
      </c>
      <c r="B47" s="17" t="s">
        <v>230</v>
      </c>
      <c r="C47" s="17" t="s">
        <v>80</v>
      </c>
      <c r="D47" s="36" t="s">
        <v>724</v>
      </c>
      <c r="E47" s="21" t="s">
        <v>343</v>
      </c>
      <c r="F47" s="21" t="s">
        <v>83</v>
      </c>
      <c r="G47" s="21" t="s">
        <v>85</v>
      </c>
      <c r="H47" s="21" t="s">
        <v>88</v>
      </c>
      <c r="I47" s="21" t="s">
        <v>91</v>
      </c>
      <c r="J47" s="17" t="str">
        <f t="shared" si="1"/>
        <v>A · CORE 80/20</v>
      </c>
      <c r="K47" s="21">
        <v>43.0</v>
      </c>
      <c r="L47" s="21">
        <f t="shared" si="2"/>
        <v>81</v>
      </c>
      <c r="M47" s="23" t="s">
        <v>612</v>
      </c>
      <c r="N47" s="17" t="s">
        <v>613</v>
      </c>
      <c r="O47" s="17" t="s">
        <v>347</v>
      </c>
      <c r="P47" s="17" t="s">
        <v>151</v>
      </c>
    </row>
    <row r="48" ht="46.5" customHeight="1">
      <c r="A48" s="32" t="s">
        <v>340</v>
      </c>
      <c r="B48" s="28" t="s">
        <v>230</v>
      </c>
      <c r="C48" s="28" t="s">
        <v>80</v>
      </c>
      <c r="D48" s="56" t="s">
        <v>739</v>
      </c>
      <c r="E48" s="30" t="s">
        <v>343</v>
      </c>
      <c r="F48" s="30" t="s">
        <v>83</v>
      </c>
      <c r="G48" s="30" t="s">
        <v>85</v>
      </c>
      <c r="H48" s="30" t="s">
        <v>88</v>
      </c>
      <c r="I48" s="30" t="s">
        <v>91</v>
      </c>
      <c r="J48" s="28" t="str">
        <f t="shared" si="1"/>
        <v>A · CORE 80/20</v>
      </c>
      <c r="K48" s="30">
        <v>44.0</v>
      </c>
      <c r="L48" s="30">
        <f t="shared" si="2"/>
        <v>81</v>
      </c>
      <c r="M48" s="42" t="s">
        <v>344</v>
      </c>
      <c r="N48" s="28" t="s">
        <v>346</v>
      </c>
      <c r="O48" s="28" t="s">
        <v>347</v>
      </c>
      <c r="P48" s="28" t="s">
        <v>151</v>
      </c>
    </row>
    <row r="49" ht="46.5" customHeight="1">
      <c r="A49" s="18" t="s">
        <v>621</v>
      </c>
      <c r="B49" s="17" t="s">
        <v>230</v>
      </c>
      <c r="C49" s="17" t="s">
        <v>80</v>
      </c>
      <c r="D49" s="36" t="s">
        <v>750</v>
      </c>
      <c r="E49" s="21" t="s">
        <v>623</v>
      </c>
      <c r="F49" s="21" t="s">
        <v>83</v>
      </c>
      <c r="G49" s="21" t="s">
        <v>85</v>
      </c>
      <c r="H49" s="21" t="s">
        <v>88</v>
      </c>
      <c r="I49" s="21" t="s">
        <v>91</v>
      </c>
      <c r="J49" s="17" t="str">
        <f t="shared" si="1"/>
        <v>A · CORE 80/20</v>
      </c>
      <c r="K49" s="21">
        <v>45.0</v>
      </c>
      <c r="L49" s="21">
        <f t="shared" si="2"/>
        <v>81</v>
      </c>
      <c r="M49" s="23" t="s">
        <v>624</v>
      </c>
      <c r="N49" s="17" t="s">
        <v>625</v>
      </c>
      <c r="O49" s="17" t="s">
        <v>347</v>
      </c>
      <c r="P49" s="17" t="s">
        <v>136</v>
      </c>
    </row>
    <row r="50" ht="46.5" customHeight="1">
      <c r="A50" s="32" t="s">
        <v>642</v>
      </c>
      <c r="B50" s="28" t="s">
        <v>230</v>
      </c>
      <c r="C50" s="28" t="s">
        <v>80</v>
      </c>
      <c r="D50" s="56" t="s">
        <v>758</v>
      </c>
      <c r="E50" s="30" t="s">
        <v>264</v>
      </c>
      <c r="F50" s="30" t="s">
        <v>83</v>
      </c>
      <c r="G50" s="30" t="s">
        <v>85</v>
      </c>
      <c r="H50" s="30" t="s">
        <v>88</v>
      </c>
      <c r="I50" s="30" t="s">
        <v>91</v>
      </c>
      <c r="J50" s="28" t="str">
        <f t="shared" si="1"/>
        <v>A · CORE 80/20</v>
      </c>
      <c r="K50" s="30">
        <v>46.0</v>
      </c>
      <c r="L50" s="30">
        <f t="shared" si="2"/>
        <v>81</v>
      </c>
      <c r="M50" s="42" t="s">
        <v>645</v>
      </c>
      <c r="N50" s="28" t="s">
        <v>646</v>
      </c>
      <c r="O50" s="28" t="s">
        <v>347</v>
      </c>
      <c r="P50" s="28" t="s">
        <v>136</v>
      </c>
    </row>
    <row r="51" ht="46.5" customHeight="1">
      <c r="A51" s="18" t="s">
        <v>647</v>
      </c>
      <c r="B51" s="17" t="s">
        <v>230</v>
      </c>
      <c r="C51" s="17" t="s">
        <v>80</v>
      </c>
      <c r="D51" s="36" t="s">
        <v>768</v>
      </c>
      <c r="E51" s="21" t="s">
        <v>343</v>
      </c>
      <c r="F51" s="21" t="s">
        <v>83</v>
      </c>
      <c r="G51" s="21" t="s">
        <v>85</v>
      </c>
      <c r="H51" s="21" t="s">
        <v>88</v>
      </c>
      <c r="I51" s="21" t="s">
        <v>91</v>
      </c>
      <c r="J51" s="17" t="str">
        <f t="shared" si="1"/>
        <v>A · CORE 80/20</v>
      </c>
      <c r="K51" s="21">
        <v>47.0</v>
      </c>
      <c r="L51" s="21">
        <f t="shared" si="2"/>
        <v>81</v>
      </c>
      <c r="M51" s="23" t="s">
        <v>651</v>
      </c>
      <c r="N51" s="17" t="s">
        <v>652</v>
      </c>
      <c r="O51" s="17" t="s">
        <v>347</v>
      </c>
      <c r="P51" s="17" t="s">
        <v>151</v>
      </c>
    </row>
    <row r="52" ht="46.5" customHeight="1">
      <c r="A52" s="32" t="s">
        <v>656</v>
      </c>
      <c r="B52" s="28" t="s">
        <v>230</v>
      </c>
      <c r="C52" s="28" t="s">
        <v>80</v>
      </c>
      <c r="D52" s="56" t="s">
        <v>778</v>
      </c>
      <c r="E52" s="30" t="s">
        <v>343</v>
      </c>
      <c r="F52" s="30" t="s">
        <v>83</v>
      </c>
      <c r="G52" s="30" t="s">
        <v>85</v>
      </c>
      <c r="H52" s="30" t="s">
        <v>88</v>
      </c>
      <c r="I52" s="30" t="s">
        <v>91</v>
      </c>
      <c r="J52" s="28" t="str">
        <f t="shared" si="1"/>
        <v>A · CORE 80/20</v>
      </c>
      <c r="K52" s="30">
        <v>48.0</v>
      </c>
      <c r="L52" s="30">
        <f t="shared" si="2"/>
        <v>81</v>
      </c>
      <c r="M52" s="42" t="s">
        <v>669</v>
      </c>
      <c r="N52" s="28" t="s">
        <v>671</v>
      </c>
      <c r="O52" s="28" t="s">
        <v>347</v>
      </c>
      <c r="P52" s="28" t="s">
        <v>672</v>
      </c>
    </row>
    <row r="53" ht="46.5" customHeight="1">
      <c r="A53" s="18" t="s">
        <v>573</v>
      </c>
      <c r="B53" s="17" t="s">
        <v>230</v>
      </c>
      <c r="C53" s="17" t="s">
        <v>80</v>
      </c>
      <c r="D53" s="36" t="s">
        <v>784</v>
      </c>
      <c r="E53" s="21" t="s">
        <v>343</v>
      </c>
      <c r="F53" s="21" t="s">
        <v>83</v>
      </c>
      <c r="G53" s="21" t="s">
        <v>85</v>
      </c>
      <c r="H53" s="21" t="s">
        <v>88</v>
      </c>
      <c r="I53" s="21" t="s">
        <v>91</v>
      </c>
      <c r="J53" s="17" t="str">
        <f t="shared" si="1"/>
        <v>A · CORE 80/20</v>
      </c>
      <c r="K53" s="21">
        <v>49.0</v>
      </c>
      <c r="L53" s="21">
        <f t="shared" si="2"/>
        <v>81</v>
      </c>
      <c r="M53" s="23" t="s">
        <v>580</v>
      </c>
      <c r="N53" s="17" t="s">
        <v>582</v>
      </c>
      <c r="O53" s="17" t="s">
        <v>583</v>
      </c>
      <c r="P53" s="17" t="s">
        <v>151</v>
      </c>
    </row>
    <row r="54" ht="46.5" customHeight="1">
      <c r="A54" s="32" t="s">
        <v>628</v>
      </c>
      <c r="B54" s="28" t="s">
        <v>230</v>
      </c>
      <c r="C54" s="28" t="s">
        <v>80</v>
      </c>
      <c r="D54" s="56" t="s">
        <v>789</v>
      </c>
      <c r="E54" s="30" t="s">
        <v>343</v>
      </c>
      <c r="F54" s="30" t="s">
        <v>83</v>
      </c>
      <c r="G54" s="30" t="s">
        <v>85</v>
      </c>
      <c r="H54" s="30" t="s">
        <v>88</v>
      </c>
      <c r="I54" s="30" t="s">
        <v>91</v>
      </c>
      <c r="J54" s="28" t="str">
        <f t="shared" si="1"/>
        <v>A · CORE 80/20</v>
      </c>
      <c r="K54" s="30">
        <v>50.0</v>
      </c>
      <c r="L54" s="30">
        <f t="shared" si="2"/>
        <v>81</v>
      </c>
      <c r="M54" s="42" t="s">
        <v>370</v>
      </c>
      <c r="N54" s="28" t="s">
        <v>632</v>
      </c>
      <c r="O54" s="28" t="s">
        <v>109</v>
      </c>
      <c r="P54" s="28" t="s">
        <v>151</v>
      </c>
    </row>
    <row r="55" ht="46.5" customHeight="1">
      <c r="A55" s="18" t="s">
        <v>673</v>
      </c>
      <c r="B55" s="17" t="s">
        <v>230</v>
      </c>
      <c r="C55" s="17" t="s">
        <v>80</v>
      </c>
      <c r="D55" s="36" t="s">
        <v>794</v>
      </c>
      <c r="E55" s="21" t="s">
        <v>343</v>
      </c>
      <c r="F55" s="21" t="s">
        <v>83</v>
      </c>
      <c r="G55" s="21" t="s">
        <v>85</v>
      </c>
      <c r="H55" s="21" t="s">
        <v>88</v>
      </c>
      <c r="I55" s="21" t="s">
        <v>91</v>
      </c>
      <c r="J55" s="17" t="str">
        <f t="shared" si="1"/>
        <v>A · CORE 80/20</v>
      </c>
      <c r="K55" s="21">
        <v>51.0</v>
      </c>
      <c r="L55" s="21">
        <f t="shared" si="2"/>
        <v>81</v>
      </c>
      <c r="M55" s="23" t="s">
        <v>678</v>
      </c>
      <c r="N55" s="17" t="s">
        <v>680</v>
      </c>
      <c r="O55" s="17" t="s">
        <v>347</v>
      </c>
      <c r="P55" s="17" t="s">
        <v>151</v>
      </c>
    </row>
    <row r="56" ht="46.5" customHeight="1">
      <c r="A56" s="32" t="s">
        <v>684</v>
      </c>
      <c r="B56" s="28" t="s">
        <v>230</v>
      </c>
      <c r="C56" s="28" t="s">
        <v>80</v>
      </c>
      <c r="D56" s="56" t="s">
        <v>798</v>
      </c>
      <c r="E56" s="30" t="s">
        <v>215</v>
      </c>
      <c r="F56" s="30" t="s">
        <v>83</v>
      </c>
      <c r="G56" s="30" t="s">
        <v>85</v>
      </c>
      <c r="H56" s="30" t="s">
        <v>88</v>
      </c>
      <c r="I56" s="30" t="s">
        <v>91</v>
      </c>
      <c r="J56" s="28" t="str">
        <f t="shared" si="1"/>
        <v>A · CORE 80/20</v>
      </c>
      <c r="K56" s="30">
        <v>52.0</v>
      </c>
      <c r="L56" s="30">
        <f t="shared" si="2"/>
        <v>81</v>
      </c>
      <c r="M56" s="42" t="s">
        <v>693</v>
      </c>
      <c r="N56" s="28" t="s">
        <v>694</v>
      </c>
      <c r="O56" s="28" t="s">
        <v>199</v>
      </c>
      <c r="P56" s="28" t="s">
        <v>136</v>
      </c>
    </row>
    <row r="57" ht="46.5" customHeight="1">
      <c r="A57" s="18" t="s">
        <v>695</v>
      </c>
      <c r="B57" s="17" t="s">
        <v>230</v>
      </c>
      <c r="C57" s="17" t="s">
        <v>80</v>
      </c>
      <c r="D57" s="36" t="s">
        <v>802</v>
      </c>
      <c r="E57" s="21" t="s">
        <v>343</v>
      </c>
      <c r="F57" s="21" t="s">
        <v>83</v>
      </c>
      <c r="G57" s="21" t="s">
        <v>85</v>
      </c>
      <c r="H57" s="21" t="s">
        <v>88</v>
      </c>
      <c r="I57" s="21" t="s">
        <v>91</v>
      </c>
      <c r="J57" s="17" t="str">
        <f t="shared" si="1"/>
        <v>A · CORE 80/20</v>
      </c>
      <c r="K57" s="21">
        <v>53.0</v>
      </c>
      <c r="L57" s="21">
        <f t="shared" si="2"/>
        <v>81</v>
      </c>
      <c r="M57" s="23" t="s">
        <v>678</v>
      </c>
      <c r="N57" s="17" t="s">
        <v>704</v>
      </c>
      <c r="O57" s="17" t="s">
        <v>347</v>
      </c>
      <c r="P57" s="17" t="s">
        <v>151</v>
      </c>
    </row>
    <row r="58" ht="46.5" customHeight="1">
      <c r="A58" s="32" t="s">
        <v>707</v>
      </c>
      <c r="B58" s="28" t="s">
        <v>177</v>
      </c>
      <c r="C58" s="28" t="s">
        <v>80</v>
      </c>
      <c r="D58" s="56" t="s">
        <v>806</v>
      </c>
      <c r="E58" s="30" t="s">
        <v>713</v>
      </c>
      <c r="F58" s="30" t="s">
        <v>714</v>
      </c>
      <c r="G58" s="30" t="s">
        <v>85</v>
      </c>
      <c r="H58" s="30" t="s">
        <v>88</v>
      </c>
      <c r="I58" s="30" t="s">
        <v>91</v>
      </c>
      <c r="J58" s="28" t="str">
        <f t="shared" si="1"/>
        <v>A · CORE 80/20</v>
      </c>
      <c r="K58" s="30">
        <v>54.0</v>
      </c>
      <c r="L58" s="30">
        <f t="shared" si="2"/>
        <v>54</v>
      </c>
      <c r="M58" s="42" t="s">
        <v>718</v>
      </c>
      <c r="N58" s="28" t="s">
        <v>720</v>
      </c>
      <c r="O58" s="28" t="s">
        <v>199</v>
      </c>
      <c r="P58" s="28" t="s">
        <v>151</v>
      </c>
    </row>
    <row r="59" ht="46.5" customHeight="1">
      <c r="A59" s="18" t="s">
        <v>723</v>
      </c>
      <c r="B59" s="17" t="s">
        <v>177</v>
      </c>
      <c r="C59" s="17" t="s">
        <v>80</v>
      </c>
      <c r="D59" s="36" t="s">
        <v>811</v>
      </c>
      <c r="E59" s="21" t="s">
        <v>726</v>
      </c>
      <c r="F59" s="21" t="s">
        <v>714</v>
      </c>
      <c r="G59" s="21" t="s">
        <v>85</v>
      </c>
      <c r="H59" s="21" t="s">
        <v>88</v>
      </c>
      <c r="I59" s="21" t="s">
        <v>91</v>
      </c>
      <c r="J59" s="17" t="str">
        <f t="shared" si="1"/>
        <v>A · CORE 80/20</v>
      </c>
      <c r="K59" s="21">
        <v>55.0</v>
      </c>
      <c r="L59" s="21">
        <f t="shared" si="2"/>
        <v>54</v>
      </c>
      <c r="M59" s="23" t="s">
        <v>733</v>
      </c>
      <c r="N59" s="17" t="s">
        <v>734</v>
      </c>
      <c r="O59" s="17" t="s">
        <v>199</v>
      </c>
      <c r="P59" s="17" t="s">
        <v>110</v>
      </c>
    </row>
    <row r="60" ht="46.5" customHeight="1">
      <c r="A60" s="32" t="s">
        <v>736</v>
      </c>
      <c r="B60" s="28" t="s">
        <v>177</v>
      </c>
      <c r="C60" s="28" t="s">
        <v>80</v>
      </c>
      <c r="D60" s="56" t="s">
        <v>816</v>
      </c>
      <c r="E60" s="30" t="s">
        <v>742</v>
      </c>
      <c r="F60" s="30" t="s">
        <v>83</v>
      </c>
      <c r="G60" s="30" t="s">
        <v>85</v>
      </c>
      <c r="H60" s="30" t="s">
        <v>88</v>
      </c>
      <c r="I60" s="30" t="s">
        <v>91</v>
      </c>
      <c r="J60" s="28" t="str">
        <f t="shared" si="1"/>
        <v>A · CORE 80/20</v>
      </c>
      <c r="K60" s="30">
        <v>56.0</v>
      </c>
      <c r="L60" s="30">
        <f t="shared" si="2"/>
        <v>81</v>
      </c>
      <c r="M60" s="42" t="s">
        <v>221</v>
      </c>
      <c r="N60" s="28" t="s">
        <v>744</v>
      </c>
      <c r="O60" s="28" t="s">
        <v>109</v>
      </c>
      <c r="P60" s="28" t="s">
        <v>151</v>
      </c>
    </row>
    <row r="61" ht="46.5" customHeight="1">
      <c r="A61" s="18" t="s">
        <v>751</v>
      </c>
      <c r="B61" s="17" t="s">
        <v>177</v>
      </c>
      <c r="C61" s="17" t="s">
        <v>80</v>
      </c>
      <c r="D61" s="36" t="s">
        <v>819</v>
      </c>
      <c r="E61" s="21" t="s">
        <v>742</v>
      </c>
      <c r="F61" s="21" t="s">
        <v>83</v>
      </c>
      <c r="G61" s="21" t="s">
        <v>85</v>
      </c>
      <c r="H61" s="21" t="s">
        <v>88</v>
      </c>
      <c r="I61" s="21" t="s">
        <v>91</v>
      </c>
      <c r="J61" s="17" t="str">
        <f t="shared" si="1"/>
        <v>A · CORE 80/20</v>
      </c>
      <c r="K61" s="21">
        <v>57.0</v>
      </c>
      <c r="L61" s="21">
        <f t="shared" si="2"/>
        <v>81</v>
      </c>
      <c r="M61" s="23" t="s">
        <v>282</v>
      </c>
      <c r="N61" s="17" t="s">
        <v>759</v>
      </c>
      <c r="O61" s="17" t="s">
        <v>109</v>
      </c>
      <c r="P61" s="17" t="s">
        <v>151</v>
      </c>
    </row>
    <row r="62" ht="46.5" customHeight="1">
      <c r="A62" s="32" t="s">
        <v>760</v>
      </c>
      <c r="B62" s="28" t="s">
        <v>177</v>
      </c>
      <c r="C62" s="28" t="s">
        <v>80</v>
      </c>
      <c r="D62" s="56" t="s">
        <v>824</v>
      </c>
      <c r="E62" s="30" t="s">
        <v>742</v>
      </c>
      <c r="F62" s="30" t="s">
        <v>83</v>
      </c>
      <c r="G62" s="30" t="s">
        <v>85</v>
      </c>
      <c r="H62" s="30" t="s">
        <v>88</v>
      </c>
      <c r="I62" s="30" t="s">
        <v>91</v>
      </c>
      <c r="J62" s="28" t="str">
        <f t="shared" si="1"/>
        <v>A · CORE 80/20</v>
      </c>
      <c r="K62" s="30">
        <v>58.0</v>
      </c>
      <c r="L62" s="30">
        <f t="shared" si="2"/>
        <v>81</v>
      </c>
      <c r="M62" s="42" t="s">
        <v>769</v>
      </c>
      <c r="N62" s="28" t="s">
        <v>771</v>
      </c>
      <c r="O62" s="28" t="s">
        <v>109</v>
      </c>
      <c r="P62" s="28" t="s">
        <v>151</v>
      </c>
    </row>
    <row r="63" ht="46.5" customHeight="1">
      <c r="A63" s="18" t="s">
        <v>776</v>
      </c>
      <c r="B63" s="17" t="s">
        <v>177</v>
      </c>
      <c r="C63" s="17" t="s">
        <v>80</v>
      </c>
      <c r="D63" s="36" t="s">
        <v>828</v>
      </c>
      <c r="E63" s="21" t="s">
        <v>742</v>
      </c>
      <c r="F63" s="21" t="s">
        <v>83</v>
      </c>
      <c r="G63" s="21" t="s">
        <v>85</v>
      </c>
      <c r="H63" s="21" t="s">
        <v>88</v>
      </c>
      <c r="I63" s="21" t="s">
        <v>91</v>
      </c>
      <c r="J63" s="17" t="str">
        <f t="shared" si="1"/>
        <v>A · CORE 80/20</v>
      </c>
      <c r="K63" s="21">
        <v>59.0</v>
      </c>
      <c r="L63" s="21">
        <f t="shared" si="2"/>
        <v>81</v>
      </c>
      <c r="M63" s="23" t="s">
        <v>779</v>
      </c>
      <c r="N63" s="17" t="s">
        <v>780</v>
      </c>
      <c r="O63" s="17" t="s">
        <v>109</v>
      </c>
      <c r="P63" s="17" t="s">
        <v>151</v>
      </c>
    </row>
    <row r="64" ht="46.5" customHeight="1">
      <c r="A64" s="32" t="s">
        <v>781</v>
      </c>
      <c r="B64" s="28" t="s">
        <v>177</v>
      </c>
      <c r="C64" s="28" t="s">
        <v>80</v>
      </c>
      <c r="D64" s="56" t="s">
        <v>833</v>
      </c>
      <c r="E64" s="30" t="s">
        <v>742</v>
      </c>
      <c r="F64" s="30" t="s">
        <v>83</v>
      </c>
      <c r="G64" s="30" t="s">
        <v>85</v>
      </c>
      <c r="H64" s="30" t="s">
        <v>88</v>
      </c>
      <c r="I64" s="30" t="s">
        <v>91</v>
      </c>
      <c r="J64" s="28" t="str">
        <f t="shared" si="1"/>
        <v>A · CORE 80/20</v>
      </c>
      <c r="K64" s="30">
        <v>60.0</v>
      </c>
      <c r="L64" s="30">
        <f t="shared" si="2"/>
        <v>81</v>
      </c>
      <c r="M64" s="42" t="s">
        <v>785</v>
      </c>
      <c r="N64" s="28" t="s">
        <v>786</v>
      </c>
      <c r="O64" s="28" t="s">
        <v>109</v>
      </c>
      <c r="P64" s="28" t="s">
        <v>151</v>
      </c>
    </row>
    <row r="65" ht="46.5" customHeight="1">
      <c r="A65" s="18" t="s">
        <v>787</v>
      </c>
      <c r="B65" s="17" t="s">
        <v>177</v>
      </c>
      <c r="C65" s="17" t="s">
        <v>80</v>
      </c>
      <c r="D65" s="36" t="s">
        <v>836</v>
      </c>
      <c r="E65" s="21" t="s">
        <v>742</v>
      </c>
      <c r="F65" s="21" t="s">
        <v>83</v>
      </c>
      <c r="G65" s="21" t="s">
        <v>85</v>
      </c>
      <c r="H65" s="21" t="s">
        <v>88</v>
      </c>
      <c r="I65" s="21" t="s">
        <v>91</v>
      </c>
      <c r="J65" s="17" t="str">
        <f t="shared" si="1"/>
        <v>A · CORE 80/20</v>
      </c>
      <c r="K65" s="21">
        <v>61.0</v>
      </c>
      <c r="L65" s="21">
        <f t="shared" si="2"/>
        <v>81</v>
      </c>
      <c r="M65" s="23" t="s">
        <v>790</v>
      </c>
      <c r="N65" s="17" t="s">
        <v>791</v>
      </c>
      <c r="O65" s="17" t="s">
        <v>109</v>
      </c>
      <c r="P65" s="17" t="s">
        <v>324</v>
      </c>
    </row>
    <row r="66" ht="46.5" customHeight="1">
      <c r="A66" s="32" t="s">
        <v>792</v>
      </c>
      <c r="B66" s="28" t="s">
        <v>177</v>
      </c>
      <c r="C66" s="28" t="s">
        <v>80</v>
      </c>
      <c r="D66" s="56" t="s">
        <v>837</v>
      </c>
      <c r="E66" s="30" t="s">
        <v>713</v>
      </c>
      <c r="F66" s="30" t="s">
        <v>714</v>
      </c>
      <c r="G66" s="30" t="s">
        <v>85</v>
      </c>
      <c r="H66" s="30" t="s">
        <v>88</v>
      </c>
      <c r="I66" s="30" t="s">
        <v>91</v>
      </c>
      <c r="J66" s="28" t="str">
        <f t="shared" si="1"/>
        <v>A · CORE 80/20</v>
      </c>
      <c r="K66" s="30">
        <v>62.0</v>
      </c>
      <c r="L66" s="30">
        <f t="shared" si="2"/>
        <v>54</v>
      </c>
      <c r="M66" s="42" t="s">
        <v>795</v>
      </c>
      <c r="N66" s="28" t="s">
        <v>796</v>
      </c>
      <c r="O66" s="28" t="s">
        <v>199</v>
      </c>
      <c r="P66" s="28" t="s">
        <v>151</v>
      </c>
    </row>
    <row r="67" ht="46.5" customHeight="1">
      <c r="A67" s="18" t="s">
        <v>797</v>
      </c>
      <c r="B67" s="17" t="s">
        <v>177</v>
      </c>
      <c r="C67" s="17" t="s">
        <v>80</v>
      </c>
      <c r="D67" s="36" t="s">
        <v>838</v>
      </c>
      <c r="E67" s="21" t="s">
        <v>264</v>
      </c>
      <c r="F67" s="21" t="s">
        <v>83</v>
      </c>
      <c r="G67" s="21" t="s">
        <v>85</v>
      </c>
      <c r="H67" s="21" t="s">
        <v>88</v>
      </c>
      <c r="I67" s="21" t="s">
        <v>91</v>
      </c>
      <c r="J67" s="17" t="str">
        <f t="shared" si="1"/>
        <v>A · CORE 80/20</v>
      </c>
      <c r="K67" s="21">
        <v>63.0</v>
      </c>
      <c r="L67" s="21">
        <f t="shared" si="2"/>
        <v>81</v>
      </c>
      <c r="M67" s="23" t="s">
        <v>269</v>
      </c>
      <c r="N67" s="17" t="s">
        <v>800</v>
      </c>
      <c r="O67" s="17" t="s">
        <v>109</v>
      </c>
      <c r="P67" s="17" t="s">
        <v>110</v>
      </c>
    </row>
    <row r="68" ht="46.5" customHeight="1">
      <c r="A68" s="32" t="s">
        <v>801</v>
      </c>
      <c r="B68" s="28" t="s">
        <v>177</v>
      </c>
      <c r="C68" s="28" t="s">
        <v>80</v>
      </c>
      <c r="D68" s="56" t="s">
        <v>839</v>
      </c>
      <c r="E68" s="30" t="s">
        <v>713</v>
      </c>
      <c r="F68" s="30" t="s">
        <v>714</v>
      </c>
      <c r="G68" s="30" t="s">
        <v>85</v>
      </c>
      <c r="H68" s="30" t="s">
        <v>88</v>
      </c>
      <c r="I68" s="30" t="s">
        <v>91</v>
      </c>
      <c r="J68" s="28" t="str">
        <f t="shared" si="1"/>
        <v>A · CORE 80/20</v>
      </c>
      <c r="K68" s="30">
        <v>64.0</v>
      </c>
      <c r="L68" s="30">
        <f t="shared" si="2"/>
        <v>54</v>
      </c>
      <c r="M68" s="42" t="s">
        <v>804</v>
      </c>
      <c r="N68" s="28" t="s">
        <v>805</v>
      </c>
      <c r="O68" s="28" t="s">
        <v>199</v>
      </c>
      <c r="P68" s="28" t="s">
        <v>110</v>
      </c>
    </row>
    <row r="69" ht="46.5" customHeight="1">
      <c r="A69" s="18" t="s">
        <v>807</v>
      </c>
      <c r="B69" s="17" t="s">
        <v>177</v>
      </c>
      <c r="C69" s="17" t="s">
        <v>80</v>
      </c>
      <c r="D69" s="36" t="s">
        <v>840</v>
      </c>
      <c r="E69" s="21" t="s">
        <v>82</v>
      </c>
      <c r="F69" s="21" t="s">
        <v>714</v>
      </c>
      <c r="G69" s="21" t="s">
        <v>85</v>
      </c>
      <c r="H69" s="21" t="s">
        <v>88</v>
      </c>
      <c r="I69" s="21" t="s">
        <v>91</v>
      </c>
      <c r="J69" s="17" t="str">
        <f t="shared" si="1"/>
        <v>A · CORE 80/20</v>
      </c>
      <c r="K69" s="21">
        <v>65.0</v>
      </c>
      <c r="L69" s="21">
        <f t="shared" si="2"/>
        <v>54</v>
      </c>
      <c r="M69" s="23" t="s">
        <v>809</v>
      </c>
      <c r="N69" s="17" t="s">
        <v>810</v>
      </c>
      <c r="O69" s="17" t="s">
        <v>199</v>
      </c>
      <c r="P69" s="17" t="s">
        <v>151</v>
      </c>
    </row>
    <row r="70" ht="46.5" customHeight="1">
      <c r="A70" s="32" t="s">
        <v>812</v>
      </c>
      <c r="B70" s="28" t="s">
        <v>177</v>
      </c>
      <c r="C70" s="28" t="s">
        <v>80</v>
      </c>
      <c r="D70" s="56" t="s">
        <v>841</v>
      </c>
      <c r="E70" s="30" t="s">
        <v>623</v>
      </c>
      <c r="F70" s="30" t="s">
        <v>83</v>
      </c>
      <c r="G70" s="30" t="s">
        <v>85</v>
      </c>
      <c r="H70" s="30" t="s">
        <v>88</v>
      </c>
      <c r="I70" s="30" t="s">
        <v>91</v>
      </c>
      <c r="J70" s="28" t="str">
        <f t="shared" si="1"/>
        <v>A · CORE 80/20</v>
      </c>
      <c r="K70" s="30">
        <v>66.0</v>
      </c>
      <c r="L70" s="30">
        <f t="shared" si="2"/>
        <v>81</v>
      </c>
      <c r="M70" s="42" t="s">
        <v>814</v>
      </c>
      <c r="N70" s="28" t="s">
        <v>815</v>
      </c>
      <c r="O70" s="28" t="s">
        <v>199</v>
      </c>
      <c r="P70" s="28" t="s">
        <v>110</v>
      </c>
    </row>
    <row r="71" ht="46.5" customHeight="1">
      <c r="A71" s="18" t="s">
        <v>817</v>
      </c>
      <c r="B71" s="17" t="s">
        <v>177</v>
      </c>
      <c r="C71" s="17" t="s">
        <v>80</v>
      </c>
      <c r="D71" s="36" t="s">
        <v>842</v>
      </c>
      <c r="E71" s="21" t="s">
        <v>126</v>
      </c>
      <c r="F71" s="21" t="s">
        <v>83</v>
      </c>
      <c r="G71" s="21" t="s">
        <v>85</v>
      </c>
      <c r="H71" s="21" t="s">
        <v>88</v>
      </c>
      <c r="I71" s="21" t="s">
        <v>91</v>
      </c>
      <c r="J71" s="17" t="str">
        <f t="shared" si="1"/>
        <v>A · CORE 80/20</v>
      </c>
      <c r="K71" s="21">
        <v>67.0</v>
      </c>
      <c r="L71" s="21">
        <f t="shared" si="2"/>
        <v>81</v>
      </c>
      <c r="M71" s="23" t="s">
        <v>820</v>
      </c>
      <c r="N71" s="17" t="s">
        <v>821</v>
      </c>
      <c r="O71" s="17" t="s">
        <v>199</v>
      </c>
      <c r="P71" s="17" t="s">
        <v>151</v>
      </c>
    </row>
    <row r="72" ht="46.5" customHeight="1">
      <c r="A72" s="32" t="s">
        <v>822</v>
      </c>
      <c r="B72" s="28" t="s">
        <v>177</v>
      </c>
      <c r="C72" s="28" t="s">
        <v>80</v>
      </c>
      <c r="D72" s="56" t="s">
        <v>843</v>
      </c>
      <c r="E72" s="30" t="s">
        <v>713</v>
      </c>
      <c r="F72" s="30" t="s">
        <v>714</v>
      </c>
      <c r="G72" s="30" t="s">
        <v>85</v>
      </c>
      <c r="H72" s="30" t="s">
        <v>88</v>
      </c>
      <c r="I72" s="30" t="s">
        <v>91</v>
      </c>
      <c r="J72" s="28" t="str">
        <f t="shared" si="1"/>
        <v>A · CORE 80/20</v>
      </c>
      <c r="K72" s="30">
        <v>68.0</v>
      </c>
      <c r="L72" s="30">
        <f t="shared" si="2"/>
        <v>54</v>
      </c>
      <c r="M72" s="42" t="s">
        <v>718</v>
      </c>
      <c r="N72" s="28" t="s">
        <v>825</v>
      </c>
      <c r="O72" s="28" t="s">
        <v>199</v>
      </c>
      <c r="P72" s="28" t="s">
        <v>151</v>
      </c>
    </row>
    <row r="73" ht="46.5" customHeight="1">
      <c r="A73" s="18" t="s">
        <v>826</v>
      </c>
      <c r="B73" s="17" t="s">
        <v>177</v>
      </c>
      <c r="C73" s="17" t="s">
        <v>80</v>
      </c>
      <c r="D73" s="36" t="s">
        <v>844</v>
      </c>
      <c r="E73" s="21" t="s">
        <v>303</v>
      </c>
      <c r="F73" s="21" t="s">
        <v>83</v>
      </c>
      <c r="G73" s="21" t="s">
        <v>85</v>
      </c>
      <c r="H73" s="21" t="s">
        <v>88</v>
      </c>
      <c r="I73" s="21" t="s">
        <v>91</v>
      </c>
      <c r="J73" s="17" t="str">
        <f t="shared" si="1"/>
        <v>A · CORE 80/20</v>
      </c>
      <c r="K73" s="21">
        <v>69.0</v>
      </c>
      <c r="L73" s="21">
        <f t="shared" si="2"/>
        <v>81</v>
      </c>
      <c r="M73" s="23" t="s">
        <v>829</v>
      </c>
      <c r="N73" s="17" t="s">
        <v>830</v>
      </c>
      <c r="O73" s="17" t="s">
        <v>199</v>
      </c>
      <c r="P73" s="17" t="s">
        <v>151</v>
      </c>
    </row>
    <row r="74" ht="46.5" customHeight="1">
      <c r="A74" s="32" t="s">
        <v>831</v>
      </c>
      <c r="B74" s="28" t="s">
        <v>177</v>
      </c>
      <c r="C74" s="28" t="s">
        <v>80</v>
      </c>
      <c r="D74" s="56" t="s">
        <v>845</v>
      </c>
      <c r="E74" s="30" t="s">
        <v>239</v>
      </c>
      <c r="F74" s="30" t="s">
        <v>714</v>
      </c>
      <c r="G74" s="30" t="s">
        <v>85</v>
      </c>
      <c r="H74" s="30" t="s">
        <v>88</v>
      </c>
      <c r="I74" s="30" t="s">
        <v>91</v>
      </c>
      <c r="J74" s="28" t="str">
        <f t="shared" si="1"/>
        <v>A · CORE 80/20</v>
      </c>
      <c r="K74" s="30">
        <v>70.0</v>
      </c>
      <c r="L74" s="30">
        <f t="shared" si="2"/>
        <v>54</v>
      </c>
      <c r="M74" s="42" t="s">
        <v>834</v>
      </c>
      <c r="N74" s="28" t="s">
        <v>835</v>
      </c>
      <c r="O74" s="28" t="s">
        <v>109</v>
      </c>
      <c r="P74" s="28" t="s">
        <v>151</v>
      </c>
    </row>
    <row r="75" ht="46.5" customHeight="1">
      <c r="A75" s="18" t="s">
        <v>846</v>
      </c>
      <c r="B75" s="17" t="s">
        <v>79</v>
      </c>
      <c r="C75" s="17" t="s">
        <v>80</v>
      </c>
      <c r="D75" s="36" t="s">
        <v>847</v>
      </c>
      <c r="E75" s="21" t="s">
        <v>126</v>
      </c>
      <c r="F75" s="21" t="s">
        <v>83</v>
      </c>
      <c r="G75" s="21" t="s">
        <v>848</v>
      </c>
      <c r="H75" s="21" t="s">
        <v>88</v>
      </c>
      <c r="I75" s="21" t="s">
        <v>140</v>
      </c>
      <c r="J75" s="17" t="str">
        <f t="shared" si="1"/>
        <v>A · CORE 80/20</v>
      </c>
      <c r="K75" s="21"/>
      <c r="L75" s="21">
        <f t="shared" si="2"/>
        <v>54</v>
      </c>
      <c r="M75" s="23" t="s">
        <v>849</v>
      </c>
      <c r="N75" s="17" t="s">
        <v>850</v>
      </c>
      <c r="O75" s="17" t="s">
        <v>109</v>
      </c>
      <c r="P75" s="17" t="s">
        <v>151</v>
      </c>
    </row>
    <row r="76" ht="46.5" customHeight="1">
      <c r="A76" s="32" t="s">
        <v>851</v>
      </c>
      <c r="B76" s="28" t="s">
        <v>79</v>
      </c>
      <c r="C76" s="28" t="s">
        <v>80</v>
      </c>
      <c r="D76" s="56" t="s">
        <v>852</v>
      </c>
      <c r="E76" s="30" t="s">
        <v>726</v>
      </c>
      <c r="F76" s="30" t="s">
        <v>83</v>
      </c>
      <c r="G76" s="30" t="s">
        <v>848</v>
      </c>
      <c r="H76" s="30" t="s">
        <v>88</v>
      </c>
      <c r="I76" s="30" t="s">
        <v>140</v>
      </c>
      <c r="J76" s="28" t="str">
        <f t="shared" si="1"/>
        <v>A · CORE 80/20</v>
      </c>
      <c r="K76" s="30"/>
      <c r="L76" s="30">
        <f t="shared" si="2"/>
        <v>54</v>
      </c>
      <c r="M76" s="42" t="s">
        <v>853</v>
      </c>
      <c r="N76" s="28" t="s">
        <v>854</v>
      </c>
      <c r="O76" s="28" t="s">
        <v>109</v>
      </c>
      <c r="P76" s="28" t="s">
        <v>110</v>
      </c>
    </row>
    <row r="77" ht="46.5" customHeight="1">
      <c r="A77" s="18" t="s">
        <v>855</v>
      </c>
      <c r="B77" s="17" t="s">
        <v>79</v>
      </c>
      <c r="C77" s="17" t="s">
        <v>80</v>
      </c>
      <c r="D77" s="36" t="s">
        <v>856</v>
      </c>
      <c r="E77" s="21" t="s">
        <v>303</v>
      </c>
      <c r="F77" s="21" t="s">
        <v>83</v>
      </c>
      <c r="G77" s="21" t="s">
        <v>848</v>
      </c>
      <c r="H77" s="21" t="s">
        <v>88</v>
      </c>
      <c r="I77" s="21" t="s">
        <v>140</v>
      </c>
      <c r="J77" s="17" t="str">
        <f t="shared" si="1"/>
        <v>A · CORE 80/20</v>
      </c>
      <c r="K77" s="21"/>
      <c r="L77" s="21">
        <f t="shared" si="2"/>
        <v>54</v>
      </c>
      <c r="M77" s="23" t="s">
        <v>829</v>
      </c>
      <c r="N77" s="17" t="s">
        <v>857</v>
      </c>
      <c r="O77" s="17" t="s">
        <v>109</v>
      </c>
      <c r="P77" s="17" t="s">
        <v>858</v>
      </c>
    </row>
    <row r="78" ht="46.5" customHeight="1">
      <c r="A78" s="32" t="s">
        <v>859</v>
      </c>
      <c r="B78" s="28" t="s">
        <v>79</v>
      </c>
      <c r="C78" s="28" t="s">
        <v>80</v>
      </c>
      <c r="D78" s="56" t="s">
        <v>860</v>
      </c>
      <c r="E78" s="30" t="s">
        <v>126</v>
      </c>
      <c r="F78" s="30" t="s">
        <v>83</v>
      </c>
      <c r="G78" s="30" t="s">
        <v>848</v>
      </c>
      <c r="H78" s="30" t="s">
        <v>88</v>
      </c>
      <c r="I78" s="30" t="s">
        <v>140</v>
      </c>
      <c r="J78" s="28" t="str">
        <f t="shared" si="1"/>
        <v>A · CORE 80/20</v>
      </c>
      <c r="K78" s="30"/>
      <c r="L78" s="30">
        <f t="shared" si="2"/>
        <v>54</v>
      </c>
      <c r="M78" s="42" t="s">
        <v>861</v>
      </c>
      <c r="N78" s="28" t="s">
        <v>862</v>
      </c>
      <c r="O78" s="28" t="s">
        <v>109</v>
      </c>
      <c r="P78" s="28" t="s">
        <v>151</v>
      </c>
    </row>
    <row r="79" ht="46.5" customHeight="1">
      <c r="A79" s="18" t="s">
        <v>863</v>
      </c>
      <c r="B79" s="17" t="s">
        <v>177</v>
      </c>
      <c r="C79" s="17" t="s">
        <v>80</v>
      </c>
      <c r="D79" s="36" t="s">
        <v>864</v>
      </c>
      <c r="E79" s="21" t="s">
        <v>713</v>
      </c>
      <c r="F79" s="21" t="s">
        <v>714</v>
      </c>
      <c r="G79" s="21" t="s">
        <v>848</v>
      </c>
      <c r="H79" s="21" t="s">
        <v>88</v>
      </c>
      <c r="I79" s="21" t="s">
        <v>140</v>
      </c>
      <c r="J79" s="17" t="str">
        <f t="shared" si="1"/>
        <v>A · CORE 80/20</v>
      </c>
      <c r="K79" s="21"/>
      <c r="L79" s="21">
        <f t="shared" si="2"/>
        <v>36</v>
      </c>
      <c r="M79" s="23" t="s">
        <v>865</v>
      </c>
      <c r="N79" s="17" t="s">
        <v>866</v>
      </c>
      <c r="O79" s="17" t="s">
        <v>199</v>
      </c>
      <c r="P79" s="17" t="s">
        <v>324</v>
      </c>
    </row>
    <row r="80" ht="46.5" customHeight="1">
      <c r="A80" s="32" t="s">
        <v>867</v>
      </c>
      <c r="B80" s="28" t="s">
        <v>177</v>
      </c>
      <c r="C80" s="28" t="s">
        <v>80</v>
      </c>
      <c r="D80" s="56" t="s">
        <v>868</v>
      </c>
      <c r="E80" s="30" t="s">
        <v>713</v>
      </c>
      <c r="F80" s="30" t="s">
        <v>714</v>
      </c>
      <c r="G80" s="30" t="s">
        <v>848</v>
      </c>
      <c r="H80" s="30" t="s">
        <v>88</v>
      </c>
      <c r="I80" s="30" t="s">
        <v>140</v>
      </c>
      <c r="J80" s="28" t="str">
        <f t="shared" si="1"/>
        <v>A · CORE 80/20</v>
      </c>
      <c r="K80" s="30"/>
      <c r="L80" s="30">
        <f t="shared" si="2"/>
        <v>36</v>
      </c>
      <c r="M80" s="42" t="s">
        <v>869</v>
      </c>
      <c r="N80" s="28" t="s">
        <v>870</v>
      </c>
      <c r="O80" s="28" t="s">
        <v>255</v>
      </c>
      <c r="P80" s="28" t="s">
        <v>151</v>
      </c>
    </row>
    <row r="81" ht="46.5" customHeight="1">
      <c r="A81" s="18" t="s">
        <v>871</v>
      </c>
      <c r="B81" s="17" t="s">
        <v>177</v>
      </c>
      <c r="C81" s="17" t="s">
        <v>80</v>
      </c>
      <c r="D81" s="36" t="s">
        <v>872</v>
      </c>
      <c r="E81" s="21" t="s">
        <v>742</v>
      </c>
      <c r="F81" s="21" t="s">
        <v>83</v>
      </c>
      <c r="G81" s="21" t="s">
        <v>848</v>
      </c>
      <c r="H81" s="21" t="s">
        <v>873</v>
      </c>
      <c r="I81" s="21" t="s">
        <v>140</v>
      </c>
      <c r="J81" s="17" t="str">
        <f t="shared" si="1"/>
        <v>A · CORE 80/20</v>
      </c>
      <c r="K81" s="21"/>
      <c r="L81" s="21">
        <f t="shared" si="2"/>
        <v>36</v>
      </c>
      <c r="M81" s="23" t="s">
        <v>874</v>
      </c>
      <c r="N81" s="17" t="s">
        <v>875</v>
      </c>
      <c r="O81" s="17" t="s">
        <v>199</v>
      </c>
      <c r="P81" s="17" t="s">
        <v>324</v>
      </c>
    </row>
    <row r="82" ht="46.5" customHeight="1">
      <c r="A82" s="32" t="s">
        <v>876</v>
      </c>
      <c r="B82" s="28" t="s">
        <v>230</v>
      </c>
      <c r="C82" s="28" t="s">
        <v>80</v>
      </c>
      <c r="D82" s="56" t="s">
        <v>877</v>
      </c>
      <c r="E82" s="30" t="s">
        <v>343</v>
      </c>
      <c r="F82" s="30" t="s">
        <v>714</v>
      </c>
      <c r="G82" s="30" t="s">
        <v>848</v>
      </c>
      <c r="H82" s="30" t="s">
        <v>873</v>
      </c>
      <c r="I82" s="30" t="s">
        <v>140</v>
      </c>
      <c r="J82" s="28" t="str">
        <f t="shared" si="1"/>
        <v>A · CORE 80/20</v>
      </c>
      <c r="K82" s="30"/>
      <c r="L82" s="30">
        <f t="shared" si="2"/>
        <v>24</v>
      </c>
      <c r="M82" s="42" t="s">
        <v>878</v>
      </c>
      <c r="N82" s="28" t="s">
        <v>879</v>
      </c>
      <c r="O82" s="28" t="s">
        <v>880</v>
      </c>
      <c r="P82" s="28" t="s">
        <v>151</v>
      </c>
    </row>
    <row r="83" ht="46.5" customHeight="1">
      <c r="A83" s="18" t="s">
        <v>881</v>
      </c>
      <c r="B83" s="17" t="s">
        <v>230</v>
      </c>
      <c r="C83" s="17" t="s">
        <v>80</v>
      </c>
      <c r="D83" s="36" t="s">
        <v>882</v>
      </c>
      <c r="E83" s="21" t="s">
        <v>343</v>
      </c>
      <c r="F83" s="21" t="s">
        <v>83</v>
      </c>
      <c r="G83" s="21" t="s">
        <v>848</v>
      </c>
      <c r="H83" s="21" t="s">
        <v>88</v>
      </c>
      <c r="I83" s="21" t="s">
        <v>140</v>
      </c>
      <c r="J83" s="17" t="str">
        <f t="shared" si="1"/>
        <v>A · CORE 80/20</v>
      </c>
      <c r="K83" s="21"/>
      <c r="L83" s="21">
        <f t="shared" si="2"/>
        <v>54</v>
      </c>
      <c r="M83" s="23" t="s">
        <v>883</v>
      </c>
      <c r="N83" s="17" t="s">
        <v>884</v>
      </c>
      <c r="O83" s="17" t="s">
        <v>347</v>
      </c>
      <c r="P83" s="17" t="s">
        <v>885</v>
      </c>
    </row>
    <row r="84" ht="46.5" customHeight="1">
      <c r="A84" s="32" t="s">
        <v>886</v>
      </c>
      <c r="B84" s="28" t="s">
        <v>230</v>
      </c>
      <c r="C84" s="28" t="s">
        <v>80</v>
      </c>
      <c r="D84" s="56" t="s">
        <v>887</v>
      </c>
      <c r="E84" s="30" t="s">
        <v>343</v>
      </c>
      <c r="F84" s="30" t="s">
        <v>83</v>
      </c>
      <c r="G84" s="30" t="s">
        <v>848</v>
      </c>
      <c r="H84" s="30" t="s">
        <v>88</v>
      </c>
      <c r="I84" s="30" t="s">
        <v>140</v>
      </c>
      <c r="J84" s="28" t="str">
        <f t="shared" si="1"/>
        <v>A · CORE 80/20</v>
      </c>
      <c r="K84" s="30"/>
      <c r="L84" s="30">
        <f t="shared" si="2"/>
        <v>54</v>
      </c>
      <c r="M84" s="42" t="s">
        <v>888</v>
      </c>
      <c r="N84" s="28" t="s">
        <v>889</v>
      </c>
      <c r="O84" s="28" t="s">
        <v>347</v>
      </c>
      <c r="P84" s="28" t="s">
        <v>151</v>
      </c>
    </row>
    <row r="85" ht="46.5" customHeight="1">
      <c r="A85" s="18" t="s">
        <v>890</v>
      </c>
      <c r="B85" s="17" t="s">
        <v>230</v>
      </c>
      <c r="C85" s="17" t="s">
        <v>80</v>
      </c>
      <c r="D85" s="36" t="s">
        <v>891</v>
      </c>
      <c r="E85" s="21" t="s">
        <v>264</v>
      </c>
      <c r="F85" s="21" t="s">
        <v>83</v>
      </c>
      <c r="G85" s="21" t="s">
        <v>848</v>
      </c>
      <c r="H85" s="21" t="s">
        <v>88</v>
      </c>
      <c r="I85" s="21" t="s">
        <v>140</v>
      </c>
      <c r="J85" s="17" t="str">
        <f t="shared" si="1"/>
        <v>A · CORE 80/20</v>
      </c>
      <c r="K85" s="21"/>
      <c r="L85" s="21">
        <f t="shared" si="2"/>
        <v>54</v>
      </c>
      <c r="M85" s="23" t="s">
        <v>892</v>
      </c>
      <c r="N85" s="17" t="s">
        <v>893</v>
      </c>
      <c r="O85" s="17" t="s">
        <v>199</v>
      </c>
      <c r="P85" s="17" t="s">
        <v>324</v>
      </c>
    </row>
    <row r="86" ht="46.5" customHeight="1">
      <c r="A86" s="32" t="s">
        <v>894</v>
      </c>
      <c r="B86" s="28" t="s">
        <v>230</v>
      </c>
      <c r="C86" s="28" t="s">
        <v>80</v>
      </c>
      <c r="D86" s="56" t="s">
        <v>895</v>
      </c>
      <c r="E86" s="30" t="s">
        <v>343</v>
      </c>
      <c r="F86" s="30" t="s">
        <v>83</v>
      </c>
      <c r="G86" s="30" t="s">
        <v>848</v>
      </c>
      <c r="H86" s="30" t="s">
        <v>88</v>
      </c>
      <c r="I86" s="30" t="s">
        <v>140</v>
      </c>
      <c r="J86" s="28" t="str">
        <f t="shared" si="1"/>
        <v>A · CORE 80/20</v>
      </c>
      <c r="K86" s="30"/>
      <c r="L86" s="30">
        <f t="shared" si="2"/>
        <v>54</v>
      </c>
      <c r="M86" s="42" t="s">
        <v>896</v>
      </c>
      <c r="N86" s="28" t="s">
        <v>897</v>
      </c>
      <c r="O86" s="28" t="s">
        <v>347</v>
      </c>
      <c r="P86" s="28" t="s">
        <v>151</v>
      </c>
    </row>
    <row r="87" ht="46.5" customHeight="1">
      <c r="A87" s="18" t="s">
        <v>898</v>
      </c>
      <c r="B87" s="17" t="s">
        <v>211</v>
      </c>
      <c r="C87" s="17" t="s">
        <v>80</v>
      </c>
      <c r="D87" s="36" t="s">
        <v>899</v>
      </c>
      <c r="E87" s="21" t="s">
        <v>215</v>
      </c>
      <c r="F87" s="21" t="s">
        <v>83</v>
      </c>
      <c r="G87" s="21" t="s">
        <v>848</v>
      </c>
      <c r="H87" s="21" t="s">
        <v>88</v>
      </c>
      <c r="I87" s="21" t="s">
        <v>140</v>
      </c>
      <c r="J87" s="17" t="str">
        <f t="shared" si="1"/>
        <v>A · CORE 80/20</v>
      </c>
      <c r="K87" s="21"/>
      <c r="L87" s="21">
        <f t="shared" si="2"/>
        <v>36</v>
      </c>
      <c r="M87" s="23" t="s">
        <v>900</v>
      </c>
      <c r="N87" s="17" t="s">
        <v>901</v>
      </c>
      <c r="O87" s="17" t="s">
        <v>247</v>
      </c>
      <c r="P87" s="17" t="s">
        <v>136</v>
      </c>
    </row>
    <row r="88" ht="46.5" customHeight="1">
      <c r="A88" s="32" t="s">
        <v>902</v>
      </c>
      <c r="B88" s="28" t="s">
        <v>211</v>
      </c>
      <c r="C88" s="28" t="s">
        <v>80</v>
      </c>
      <c r="D88" s="56" t="s">
        <v>903</v>
      </c>
      <c r="E88" s="30" t="s">
        <v>126</v>
      </c>
      <c r="F88" s="30" t="s">
        <v>83</v>
      </c>
      <c r="G88" s="30" t="s">
        <v>848</v>
      </c>
      <c r="H88" s="30" t="s">
        <v>88</v>
      </c>
      <c r="I88" s="30" t="s">
        <v>140</v>
      </c>
      <c r="J88" s="28" t="str">
        <f t="shared" si="1"/>
        <v>A · CORE 80/20</v>
      </c>
      <c r="K88" s="30"/>
      <c r="L88" s="30">
        <f t="shared" si="2"/>
        <v>36</v>
      </c>
      <c r="M88" s="42" t="s">
        <v>904</v>
      </c>
      <c r="N88" s="28" t="s">
        <v>905</v>
      </c>
      <c r="O88" s="28" t="s">
        <v>199</v>
      </c>
      <c r="P88" s="28" t="s">
        <v>906</v>
      </c>
    </row>
    <row r="89" ht="46.5" customHeight="1">
      <c r="A89" s="18" t="s">
        <v>907</v>
      </c>
      <c r="B89" s="17" t="s">
        <v>211</v>
      </c>
      <c r="C89" s="17" t="s">
        <v>80</v>
      </c>
      <c r="D89" s="36" t="s">
        <v>908</v>
      </c>
      <c r="E89" s="21" t="s">
        <v>303</v>
      </c>
      <c r="F89" s="21" t="s">
        <v>83</v>
      </c>
      <c r="G89" s="21" t="s">
        <v>848</v>
      </c>
      <c r="H89" s="21" t="s">
        <v>88</v>
      </c>
      <c r="I89" s="21" t="s">
        <v>140</v>
      </c>
      <c r="J89" s="17" t="str">
        <f t="shared" si="1"/>
        <v>A · CORE 80/20</v>
      </c>
      <c r="K89" s="21"/>
      <c r="L89" s="21">
        <f t="shared" si="2"/>
        <v>36</v>
      </c>
      <c r="M89" s="23" t="s">
        <v>376</v>
      </c>
      <c r="N89" s="17" t="s">
        <v>909</v>
      </c>
      <c r="O89" s="17" t="s">
        <v>355</v>
      </c>
      <c r="P89" s="17" t="s">
        <v>357</v>
      </c>
    </row>
    <row r="90" ht="46.5" customHeight="1">
      <c r="A90" s="32" t="s">
        <v>910</v>
      </c>
      <c r="B90" s="28" t="s">
        <v>181</v>
      </c>
      <c r="C90" s="28" t="s">
        <v>80</v>
      </c>
      <c r="D90" s="56" t="s">
        <v>911</v>
      </c>
      <c r="E90" s="30" t="s">
        <v>558</v>
      </c>
      <c r="F90" s="30" t="s">
        <v>83</v>
      </c>
      <c r="G90" s="30" t="s">
        <v>848</v>
      </c>
      <c r="H90" s="30" t="s">
        <v>88</v>
      </c>
      <c r="I90" s="30" t="s">
        <v>140</v>
      </c>
      <c r="J90" s="28" t="str">
        <f t="shared" si="1"/>
        <v>A · CORE 80/20</v>
      </c>
      <c r="K90" s="30"/>
      <c r="L90" s="30">
        <f t="shared" si="2"/>
        <v>36</v>
      </c>
      <c r="M90" s="42" t="s">
        <v>912</v>
      </c>
      <c r="N90" s="28" t="s">
        <v>913</v>
      </c>
      <c r="O90" s="28" t="s">
        <v>199</v>
      </c>
      <c r="P90" s="28" t="s">
        <v>914</v>
      </c>
    </row>
    <row r="91" ht="46.5" customHeight="1">
      <c r="A91" s="18" t="s">
        <v>915</v>
      </c>
      <c r="B91" s="17" t="s">
        <v>181</v>
      </c>
      <c r="C91" s="17" t="s">
        <v>80</v>
      </c>
      <c r="D91" s="36" t="s">
        <v>916</v>
      </c>
      <c r="E91" s="21" t="s">
        <v>185</v>
      </c>
      <c r="F91" s="21" t="s">
        <v>714</v>
      </c>
      <c r="G91" s="21" t="s">
        <v>848</v>
      </c>
      <c r="H91" s="21" t="s">
        <v>873</v>
      </c>
      <c r="I91" s="21" t="s">
        <v>140</v>
      </c>
      <c r="J91" s="17" t="str">
        <f t="shared" si="1"/>
        <v>A · CORE 80/20</v>
      </c>
      <c r="K91" s="21"/>
      <c r="L91" s="21">
        <f t="shared" si="2"/>
        <v>16</v>
      </c>
      <c r="M91" s="23" t="s">
        <v>917</v>
      </c>
      <c r="N91" s="17" t="s">
        <v>918</v>
      </c>
      <c r="O91" s="17" t="s">
        <v>919</v>
      </c>
      <c r="P91" s="17" t="s">
        <v>113</v>
      </c>
    </row>
    <row r="92" ht="33.0" customHeight="1">
      <c r="A92" s="32" t="s">
        <v>920</v>
      </c>
      <c r="B92" s="28" t="s">
        <v>181</v>
      </c>
      <c r="C92" s="28" t="s">
        <v>80</v>
      </c>
      <c r="D92" s="56" t="s">
        <v>921</v>
      </c>
      <c r="E92" s="30" t="s">
        <v>126</v>
      </c>
      <c r="F92" s="30" t="s">
        <v>83</v>
      </c>
      <c r="G92" s="30" t="s">
        <v>848</v>
      </c>
      <c r="H92" s="30" t="s">
        <v>88</v>
      </c>
      <c r="I92" s="30" t="s">
        <v>140</v>
      </c>
      <c r="J92" s="28" t="str">
        <f t="shared" si="1"/>
        <v>A · CORE 80/20</v>
      </c>
      <c r="K92" s="30"/>
      <c r="L92" s="30">
        <f t="shared" si="2"/>
        <v>36</v>
      </c>
      <c r="M92" s="42" t="s">
        <v>922</v>
      </c>
      <c r="N92" s="28" t="s">
        <v>923</v>
      </c>
      <c r="O92" s="28" t="s">
        <v>199</v>
      </c>
      <c r="P92" s="28" t="s">
        <v>924</v>
      </c>
    </row>
    <row r="93" ht="33.0" customHeight="1">
      <c r="A93" s="18" t="s">
        <v>925</v>
      </c>
      <c r="B93" s="17" t="s">
        <v>181</v>
      </c>
      <c r="C93" s="17" t="s">
        <v>80</v>
      </c>
      <c r="D93" s="36" t="s">
        <v>926</v>
      </c>
      <c r="E93" s="21" t="s">
        <v>87</v>
      </c>
      <c r="F93" s="21" t="s">
        <v>83</v>
      </c>
      <c r="G93" s="21" t="s">
        <v>848</v>
      </c>
      <c r="H93" s="21" t="s">
        <v>873</v>
      </c>
      <c r="I93" s="21" t="s">
        <v>140</v>
      </c>
      <c r="J93" s="17" t="str">
        <f t="shared" si="1"/>
        <v>A · CORE 80/20</v>
      </c>
      <c r="K93" s="21"/>
      <c r="L93" s="21">
        <f t="shared" si="2"/>
        <v>24</v>
      </c>
      <c r="M93" s="23" t="s">
        <v>927</v>
      </c>
      <c r="N93" s="17" t="s">
        <v>928</v>
      </c>
      <c r="O93" s="17" t="s">
        <v>247</v>
      </c>
      <c r="P93" s="17" t="s">
        <v>929</v>
      </c>
    </row>
    <row r="94" ht="46.5" customHeight="1">
      <c r="A94" s="32" t="s">
        <v>930</v>
      </c>
      <c r="B94" s="28" t="s">
        <v>284</v>
      </c>
      <c r="C94" s="28" t="s">
        <v>99</v>
      </c>
      <c r="D94" s="56" t="s">
        <v>931</v>
      </c>
      <c r="E94" s="30" t="s">
        <v>126</v>
      </c>
      <c r="F94" s="30" t="s">
        <v>83</v>
      </c>
      <c r="G94" s="30" t="s">
        <v>85</v>
      </c>
      <c r="H94" s="30" t="s">
        <v>88</v>
      </c>
      <c r="I94" s="30" t="s">
        <v>140</v>
      </c>
      <c r="J94" s="28" t="str">
        <f t="shared" si="1"/>
        <v>B · Đòn bẩy chuyển đổi</v>
      </c>
      <c r="K94" s="30"/>
      <c r="L94" s="30">
        <f t="shared" si="2"/>
        <v>54</v>
      </c>
      <c r="M94" s="42" t="s">
        <v>932</v>
      </c>
      <c r="N94" s="28" t="s">
        <v>933</v>
      </c>
      <c r="O94" s="28" t="s">
        <v>199</v>
      </c>
      <c r="P94" s="28" t="s">
        <v>151</v>
      </c>
    </row>
    <row r="95" ht="46.5" customHeight="1">
      <c r="A95" s="18" t="s">
        <v>934</v>
      </c>
      <c r="B95" s="17" t="s">
        <v>284</v>
      </c>
      <c r="C95" s="17" t="s">
        <v>99</v>
      </c>
      <c r="D95" s="36" t="s">
        <v>935</v>
      </c>
      <c r="E95" s="21" t="s">
        <v>126</v>
      </c>
      <c r="F95" s="21" t="s">
        <v>83</v>
      </c>
      <c r="G95" s="21" t="s">
        <v>85</v>
      </c>
      <c r="H95" s="21" t="s">
        <v>88</v>
      </c>
      <c r="I95" s="21" t="s">
        <v>140</v>
      </c>
      <c r="J95" s="17" t="str">
        <f t="shared" si="1"/>
        <v>B · Đòn bẩy chuyển đổi</v>
      </c>
      <c r="K95" s="21"/>
      <c r="L95" s="21">
        <f t="shared" si="2"/>
        <v>54</v>
      </c>
      <c r="M95" s="23" t="s">
        <v>936</v>
      </c>
      <c r="N95" s="17" t="s">
        <v>937</v>
      </c>
      <c r="O95" s="17" t="s">
        <v>199</v>
      </c>
      <c r="P95" s="17" t="s">
        <v>151</v>
      </c>
    </row>
    <row r="96" ht="46.5" customHeight="1">
      <c r="A96" s="32" t="s">
        <v>938</v>
      </c>
      <c r="B96" s="28" t="s">
        <v>284</v>
      </c>
      <c r="C96" s="28" t="s">
        <v>99</v>
      </c>
      <c r="D96" s="56" t="s">
        <v>939</v>
      </c>
      <c r="E96" s="30" t="s">
        <v>940</v>
      </c>
      <c r="F96" s="30" t="s">
        <v>83</v>
      </c>
      <c r="G96" s="30" t="s">
        <v>85</v>
      </c>
      <c r="H96" s="30" t="s">
        <v>88</v>
      </c>
      <c r="I96" s="30" t="s">
        <v>140</v>
      </c>
      <c r="J96" s="28" t="str">
        <f t="shared" si="1"/>
        <v>B · Đòn bẩy chuyển đổi</v>
      </c>
      <c r="K96" s="30"/>
      <c r="L96" s="30">
        <f t="shared" si="2"/>
        <v>54</v>
      </c>
      <c r="M96" s="42" t="s">
        <v>941</v>
      </c>
      <c r="N96" s="28" t="s">
        <v>942</v>
      </c>
      <c r="O96" s="28" t="s">
        <v>199</v>
      </c>
      <c r="P96" s="28" t="s">
        <v>151</v>
      </c>
    </row>
    <row r="97" ht="46.5" customHeight="1">
      <c r="A97" s="18" t="s">
        <v>943</v>
      </c>
      <c r="B97" s="17" t="s">
        <v>284</v>
      </c>
      <c r="C97" s="17" t="s">
        <v>99</v>
      </c>
      <c r="D97" s="36" t="s">
        <v>944</v>
      </c>
      <c r="E97" s="21" t="s">
        <v>82</v>
      </c>
      <c r="F97" s="21" t="s">
        <v>83</v>
      </c>
      <c r="G97" s="21" t="s">
        <v>85</v>
      </c>
      <c r="H97" s="21" t="s">
        <v>88</v>
      </c>
      <c r="I97" s="21" t="s">
        <v>140</v>
      </c>
      <c r="J97" s="17" t="str">
        <f t="shared" si="1"/>
        <v>B · Đòn bẩy chuyển đổi</v>
      </c>
      <c r="K97" s="21"/>
      <c r="L97" s="21">
        <f t="shared" si="2"/>
        <v>54</v>
      </c>
      <c r="M97" s="23" t="s">
        <v>945</v>
      </c>
      <c r="N97" s="17" t="s">
        <v>946</v>
      </c>
      <c r="O97" s="17" t="s">
        <v>199</v>
      </c>
      <c r="P97" s="17" t="s">
        <v>324</v>
      </c>
    </row>
    <row r="98" ht="46.5" customHeight="1">
      <c r="A98" s="32" t="s">
        <v>947</v>
      </c>
      <c r="B98" s="28" t="s">
        <v>284</v>
      </c>
      <c r="C98" s="28" t="s">
        <v>99</v>
      </c>
      <c r="D98" s="56" t="s">
        <v>948</v>
      </c>
      <c r="E98" s="30" t="s">
        <v>82</v>
      </c>
      <c r="F98" s="30" t="s">
        <v>83</v>
      </c>
      <c r="G98" s="30" t="s">
        <v>85</v>
      </c>
      <c r="H98" s="30" t="s">
        <v>88</v>
      </c>
      <c r="I98" s="30" t="s">
        <v>140</v>
      </c>
      <c r="J98" s="28" t="str">
        <f t="shared" si="1"/>
        <v>B · Đòn bẩy chuyển đổi</v>
      </c>
      <c r="K98" s="30"/>
      <c r="L98" s="30">
        <f t="shared" si="2"/>
        <v>54</v>
      </c>
      <c r="M98" s="42" t="s">
        <v>949</v>
      </c>
      <c r="N98" s="28" t="s">
        <v>950</v>
      </c>
      <c r="O98" s="28" t="s">
        <v>199</v>
      </c>
      <c r="P98" s="28" t="s">
        <v>151</v>
      </c>
    </row>
    <row r="99" ht="46.5" customHeight="1">
      <c r="A99" s="18" t="s">
        <v>951</v>
      </c>
      <c r="B99" s="17" t="s">
        <v>284</v>
      </c>
      <c r="C99" s="17" t="s">
        <v>99</v>
      </c>
      <c r="D99" s="36" t="s">
        <v>952</v>
      </c>
      <c r="E99" s="21" t="s">
        <v>82</v>
      </c>
      <c r="F99" s="21" t="s">
        <v>83</v>
      </c>
      <c r="G99" s="21" t="s">
        <v>85</v>
      </c>
      <c r="H99" s="21" t="s">
        <v>88</v>
      </c>
      <c r="I99" s="21" t="s">
        <v>140</v>
      </c>
      <c r="J99" s="17" t="str">
        <f t="shared" si="1"/>
        <v>B · Đòn bẩy chuyển đổi</v>
      </c>
      <c r="K99" s="21"/>
      <c r="L99" s="21">
        <f t="shared" si="2"/>
        <v>54</v>
      </c>
      <c r="M99" s="23" t="s">
        <v>953</v>
      </c>
      <c r="N99" s="17" t="s">
        <v>954</v>
      </c>
      <c r="O99" s="17" t="s">
        <v>199</v>
      </c>
      <c r="P99" s="17" t="s">
        <v>151</v>
      </c>
    </row>
    <row r="100" ht="46.5" customHeight="1">
      <c r="A100" s="32" t="s">
        <v>955</v>
      </c>
      <c r="B100" s="28" t="s">
        <v>284</v>
      </c>
      <c r="C100" s="28" t="s">
        <v>99</v>
      </c>
      <c r="D100" s="56" t="s">
        <v>956</v>
      </c>
      <c r="E100" s="30" t="s">
        <v>82</v>
      </c>
      <c r="F100" s="30" t="s">
        <v>714</v>
      </c>
      <c r="G100" s="30" t="s">
        <v>848</v>
      </c>
      <c r="H100" s="30" t="s">
        <v>88</v>
      </c>
      <c r="I100" s="30" t="s">
        <v>140</v>
      </c>
      <c r="J100" s="28" t="str">
        <f t="shared" si="1"/>
        <v>B · Đòn bẩy chuyển đổi</v>
      </c>
      <c r="K100" s="30"/>
      <c r="L100" s="30">
        <f t="shared" si="2"/>
        <v>24</v>
      </c>
      <c r="M100" s="42" t="s">
        <v>957</v>
      </c>
      <c r="N100" s="28" t="s">
        <v>958</v>
      </c>
      <c r="O100" s="28" t="s">
        <v>199</v>
      </c>
      <c r="P100" s="28" t="s">
        <v>324</v>
      </c>
    </row>
    <row r="101" ht="46.5" customHeight="1">
      <c r="A101" s="18" t="s">
        <v>959</v>
      </c>
      <c r="B101" s="17" t="s">
        <v>284</v>
      </c>
      <c r="C101" s="17" t="s">
        <v>99</v>
      </c>
      <c r="D101" s="36" t="s">
        <v>960</v>
      </c>
      <c r="E101" s="21" t="s">
        <v>82</v>
      </c>
      <c r="F101" s="21" t="s">
        <v>714</v>
      </c>
      <c r="G101" s="21" t="s">
        <v>848</v>
      </c>
      <c r="H101" s="21" t="s">
        <v>88</v>
      </c>
      <c r="I101" s="21" t="s">
        <v>140</v>
      </c>
      <c r="J101" s="17" t="str">
        <f t="shared" si="1"/>
        <v>B · Đòn bẩy chuyển đổi</v>
      </c>
      <c r="K101" s="21"/>
      <c r="L101" s="21">
        <f t="shared" si="2"/>
        <v>24</v>
      </c>
      <c r="M101" s="23" t="s">
        <v>961</v>
      </c>
      <c r="N101" s="17" t="s">
        <v>962</v>
      </c>
      <c r="O101" s="17" t="s">
        <v>199</v>
      </c>
      <c r="P101" s="17" t="s">
        <v>151</v>
      </c>
    </row>
    <row r="102" ht="46.5" customHeight="1">
      <c r="A102" s="32" t="s">
        <v>963</v>
      </c>
      <c r="B102" s="28" t="s">
        <v>284</v>
      </c>
      <c r="C102" s="28" t="s">
        <v>99</v>
      </c>
      <c r="D102" s="56" t="s">
        <v>964</v>
      </c>
      <c r="E102" s="30" t="s">
        <v>157</v>
      </c>
      <c r="F102" s="30" t="s">
        <v>83</v>
      </c>
      <c r="G102" s="30" t="s">
        <v>85</v>
      </c>
      <c r="H102" s="30" t="s">
        <v>88</v>
      </c>
      <c r="I102" s="30" t="s">
        <v>140</v>
      </c>
      <c r="J102" s="28" t="str">
        <f t="shared" si="1"/>
        <v>B · Đòn bẩy chuyển đổi</v>
      </c>
      <c r="K102" s="30"/>
      <c r="L102" s="30">
        <f t="shared" si="2"/>
        <v>54</v>
      </c>
      <c r="M102" s="42" t="s">
        <v>965</v>
      </c>
      <c r="N102" s="28" t="s">
        <v>966</v>
      </c>
      <c r="O102" s="28" t="s">
        <v>199</v>
      </c>
      <c r="P102" s="28" t="s">
        <v>324</v>
      </c>
    </row>
    <row r="103" ht="46.5" customHeight="1">
      <c r="A103" s="18" t="s">
        <v>967</v>
      </c>
      <c r="B103" s="17" t="s">
        <v>284</v>
      </c>
      <c r="C103" s="17" t="s">
        <v>99</v>
      </c>
      <c r="D103" s="36" t="s">
        <v>968</v>
      </c>
      <c r="E103" s="21" t="s">
        <v>157</v>
      </c>
      <c r="F103" s="21" t="s">
        <v>83</v>
      </c>
      <c r="G103" s="21" t="s">
        <v>85</v>
      </c>
      <c r="H103" s="21" t="s">
        <v>88</v>
      </c>
      <c r="I103" s="21" t="s">
        <v>140</v>
      </c>
      <c r="J103" s="17" t="str">
        <f t="shared" si="1"/>
        <v>B · Đòn bẩy chuyển đổi</v>
      </c>
      <c r="K103" s="21"/>
      <c r="L103" s="21">
        <f t="shared" si="2"/>
        <v>54</v>
      </c>
      <c r="M103" s="23" t="s">
        <v>969</v>
      </c>
      <c r="N103" s="17" t="s">
        <v>970</v>
      </c>
      <c r="O103" s="17" t="s">
        <v>199</v>
      </c>
      <c r="P103" s="17" t="s">
        <v>324</v>
      </c>
    </row>
    <row r="104" ht="46.5" customHeight="1">
      <c r="A104" s="32" t="s">
        <v>971</v>
      </c>
      <c r="B104" s="28" t="s">
        <v>284</v>
      </c>
      <c r="C104" s="28" t="s">
        <v>99</v>
      </c>
      <c r="D104" s="56" t="s">
        <v>972</v>
      </c>
      <c r="E104" s="30" t="s">
        <v>126</v>
      </c>
      <c r="F104" s="30" t="s">
        <v>83</v>
      </c>
      <c r="G104" s="30" t="s">
        <v>848</v>
      </c>
      <c r="H104" s="30" t="s">
        <v>88</v>
      </c>
      <c r="I104" s="30" t="s">
        <v>140</v>
      </c>
      <c r="J104" s="28" t="str">
        <f t="shared" si="1"/>
        <v>B · Đòn bẩy chuyển đổi</v>
      </c>
      <c r="K104" s="30"/>
      <c r="L104" s="30">
        <f t="shared" si="2"/>
        <v>36</v>
      </c>
      <c r="M104" s="42" t="s">
        <v>973</v>
      </c>
      <c r="N104" s="28" t="s">
        <v>974</v>
      </c>
      <c r="O104" s="28" t="s">
        <v>199</v>
      </c>
      <c r="P104" s="28" t="s">
        <v>324</v>
      </c>
    </row>
    <row r="105" ht="46.5" customHeight="1">
      <c r="A105" s="18" t="s">
        <v>975</v>
      </c>
      <c r="B105" s="17" t="s">
        <v>284</v>
      </c>
      <c r="C105" s="17" t="s">
        <v>99</v>
      </c>
      <c r="D105" s="36" t="s">
        <v>976</v>
      </c>
      <c r="E105" s="21" t="s">
        <v>589</v>
      </c>
      <c r="F105" s="21" t="s">
        <v>83</v>
      </c>
      <c r="G105" s="21" t="s">
        <v>848</v>
      </c>
      <c r="H105" s="21" t="s">
        <v>873</v>
      </c>
      <c r="I105" s="21" t="s">
        <v>140</v>
      </c>
      <c r="J105" s="17" t="str">
        <f t="shared" si="1"/>
        <v>B · Đòn bẩy chuyển đổi</v>
      </c>
      <c r="K105" s="21"/>
      <c r="L105" s="21">
        <f t="shared" si="2"/>
        <v>24</v>
      </c>
      <c r="M105" s="23" t="s">
        <v>977</v>
      </c>
      <c r="N105" s="17" t="s">
        <v>978</v>
      </c>
      <c r="O105" s="17" t="s">
        <v>199</v>
      </c>
      <c r="P105" s="17" t="s">
        <v>324</v>
      </c>
    </row>
    <row r="106" ht="46.5" customHeight="1">
      <c r="A106" s="32" t="s">
        <v>979</v>
      </c>
      <c r="B106" s="28" t="s">
        <v>284</v>
      </c>
      <c r="C106" s="28" t="s">
        <v>99</v>
      </c>
      <c r="D106" s="56" t="s">
        <v>980</v>
      </c>
      <c r="E106" s="30" t="s">
        <v>126</v>
      </c>
      <c r="F106" s="30" t="s">
        <v>83</v>
      </c>
      <c r="G106" s="30" t="s">
        <v>848</v>
      </c>
      <c r="H106" s="30" t="s">
        <v>873</v>
      </c>
      <c r="I106" s="30" t="s">
        <v>140</v>
      </c>
      <c r="J106" s="28" t="str">
        <f t="shared" si="1"/>
        <v>B · Đòn bẩy chuyển đổi</v>
      </c>
      <c r="K106" s="30"/>
      <c r="L106" s="30">
        <f t="shared" si="2"/>
        <v>24</v>
      </c>
      <c r="M106" s="42" t="s">
        <v>981</v>
      </c>
      <c r="N106" s="28" t="s">
        <v>982</v>
      </c>
      <c r="O106" s="28" t="s">
        <v>199</v>
      </c>
      <c r="P106" s="28" t="s">
        <v>151</v>
      </c>
    </row>
    <row r="107" ht="46.5" customHeight="1">
      <c r="A107" s="18" t="s">
        <v>983</v>
      </c>
      <c r="B107" s="17" t="s">
        <v>284</v>
      </c>
      <c r="C107" s="17" t="s">
        <v>99</v>
      </c>
      <c r="D107" s="36" t="s">
        <v>984</v>
      </c>
      <c r="E107" s="21" t="s">
        <v>940</v>
      </c>
      <c r="F107" s="21" t="s">
        <v>83</v>
      </c>
      <c r="G107" s="21" t="s">
        <v>848</v>
      </c>
      <c r="H107" s="21" t="s">
        <v>88</v>
      </c>
      <c r="I107" s="21" t="s">
        <v>140</v>
      </c>
      <c r="J107" s="17" t="str">
        <f t="shared" si="1"/>
        <v>B · Đòn bẩy chuyển đổi</v>
      </c>
      <c r="K107" s="21"/>
      <c r="L107" s="21">
        <f t="shared" si="2"/>
        <v>36</v>
      </c>
      <c r="M107" s="23" t="s">
        <v>985</v>
      </c>
      <c r="N107" s="17" t="s">
        <v>986</v>
      </c>
      <c r="O107" s="17" t="s">
        <v>199</v>
      </c>
      <c r="P107" s="17" t="s">
        <v>324</v>
      </c>
    </row>
    <row r="108" ht="46.5" customHeight="1">
      <c r="A108" s="32" t="s">
        <v>987</v>
      </c>
      <c r="B108" s="28" t="s">
        <v>284</v>
      </c>
      <c r="C108" s="28" t="s">
        <v>99</v>
      </c>
      <c r="D108" s="56" t="s">
        <v>988</v>
      </c>
      <c r="E108" s="30" t="s">
        <v>126</v>
      </c>
      <c r="F108" s="30" t="s">
        <v>83</v>
      </c>
      <c r="G108" s="30" t="s">
        <v>848</v>
      </c>
      <c r="H108" s="30" t="s">
        <v>873</v>
      </c>
      <c r="I108" s="30" t="s">
        <v>140</v>
      </c>
      <c r="J108" s="28" t="str">
        <f t="shared" si="1"/>
        <v>B · Đòn bẩy chuyển đổi</v>
      </c>
      <c r="K108" s="30"/>
      <c r="L108" s="30">
        <f t="shared" si="2"/>
        <v>24</v>
      </c>
      <c r="M108" s="42" t="s">
        <v>989</v>
      </c>
      <c r="N108" s="28" t="s">
        <v>990</v>
      </c>
      <c r="O108" s="28" t="s">
        <v>199</v>
      </c>
      <c r="P108" s="28" t="s">
        <v>151</v>
      </c>
    </row>
    <row r="109" ht="46.5" customHeight="1">
      <c r="A109" s="18" t="s">
        <v>991</v>
      </c>
      <c r="B109" s="17" t="s">
        <v>284</v>
      </c>
      <c r="C109" s="17" t="s">
        <v>99</v>
      </c>
      <c r="D109" s="36" t="s">
        <v>992</v>
      </c>
      <c r="E109" s="21" t="s">
        <v>82</v>
      </c>
      <c r="F109" s="21" t="s">
        <v>714</v>
      </c>
      <c r="G109" s="21" t="s">
        <v>848</v>
      </c>
      <c r="H109" s="21" t="s">
        <v>88</v>
      </c>
      <c r="I109" s="21" t="s">
        <v>140</v>
      </c>
      <c r="J109" s="17" t="str">
        <f t="shared" si="1"/>
        <v>B · Đòn bẩy chuyển đổi</v>
      </c>
      <c r="K109" s="21"/>
      <c r="L109" s="21">
        <f t="shared" si="2"/>
        <v>24</v>
      </c>
      <c r="M109" s="23" t="s">
        <v>993</v>
      </c>
      <c r="N109" s="17" t="s">
        <v>994</v>
      </c>
      <c r="O109" s="17" t="s">
        <v>199</v>
      </c>
      <c r="P109" s="17" t="s">
        <v>151</v>
      </c>
    </row>
    <row r="110" ht="46.5" customHeight="1">
      <c r="A110" s="32" t="s">
        <v>995</v>
      </c>
      <c r="B110" s="28" t="s">
        <v>284</v>
      </c>
      <c r="C110" s="28" t="s">
        <v>99</v>
      </c>
      <c r="D110" s="56" t="s">
        <v>996</v>
      </c>
      <c r="E110" s="30" t="s">
        <v>126</v>
      </c>
      <c r="F110" s="30" t="s">
        <v>714</v>
      </c>
      <c r="G110" s="30" t="s">
        <v>848</v>
      </c>
      <c r="H110" s="30" t="s">
        <v>88</v>
      </c>
      <c r="I110" s="30" t="s">
        <v>140</v>
      </c>
      <c r="J110" s="28" t="str">
        <f t="shared" si="1"/>
        <v>B · Đòn bẩy chuyển đổi</v>
      </c>
      <c r="K110" s="30"/>
      <c r="L110" s="30">
        <f t="shared" si="2"/>
        <v>24</v>
      </c>
      <c r="M110" s="42" t="s">
        <v>997</v>
      </c>
      <c r="N110" s="28" t="s">
        <v>998</v>
      </c>
      <c r="O110" s="28" t="s">
        <v>199</v>
      </c>
      <c r="P110" s="28" t="s">
        <v>151</v>
      </c>
    </row>
    <row r="111" ht="46.5" customHeight="1">
      <c r="A111" s="18" t="s">
        <v>999</v>
      </c>
      <c r="B111" s="17" t="s">
        <v>300</v>
      </c>
      <c r="C111" s="17" t="s">
        <v>61</v>
      </c>
      <c r="D111" s="36" t="s">
        <v>1000</v>
      </c>
      <c r="E111" s="21" t="s">
        <v>126</v>
      </c>
      <c r="F111" s="21" t="s">
        <v>714</v>
      </c>
      <c r="G111" s="21" t="s">
        <v>85</v>
      </c>
      <c r="H111" s="21" t="s">
        <v>88</v>
      </c>
      <c r="I111" s="21" t="s">
        <v>140</v>
      </c>
      <c r="J111" s="17" t="str">
        <f t="shared" si="1"/>
        <v>B · Đòn bẩy chuyển đổi</v>
      </c>
      <c r="K111" s="21"/>
      <c r="L111" s="21">
        <f t="shared" si="2"/>
        <v>36</v>
      </c>
      <c r="M111" s="23" t="s">
        <v>1001</v>
      </c>
      <c r="N111" s="17" t="s">
        <v>1002</v>
      </c>
      <c r="O111" s="17" t="s">
        <v>255</v>
      </c>
      <c r="P111" s="17" t="s">
        <v>110</v>
      </c>
    </row>
    <row r="112" ht="46.5" customHeight="1">
      <c r="A112" s="32" t="s">
        <v>1003</v>
      </c>
      <c r="B112" s="28" t="s">
        <v>300</v>
      </c>
      <c r="C112" s="28" t="s">
        <v>61</v>
      </c>
      <c r="D112" s="56" t="s">
        <v>1004</v>
      </c>
      <c r="E112" s="30" t="s">
        <v>264</v>
      </c>
      <c r="F112" s="30" t="s">
        <v>714</v>
      </c>
      <c r="G112" s="30" t="s">
        <v>85</v>
      </c>
      <c r="H112" s="30" t="s">
        <v>88</v>
      </c>
      <c r="I112" s="30" t="s">
        <v>140</v>
      </c>
      <c r="J112" s="28" t="str">
        <f t="shared" si="1"/>
        <v>B · Đòn bẩy chuyển đổi</v>
      </c>
      <c r="K112" s="30"/>
      <c r="L112" s="30">
        <f t="shared" si="2"/>
        <v>36</v>
      </c>
      <c r="M112" s="42" t="s">
        <v>1005</v>
      </c>
      <c r="N112" s="28" t="s">
        <v>1006</v>
      </c>
      <c r="O112" s="28" t="s">
        <v>255</v>
      </c>
      <c r="P112" s="28" t="s">
        <v>110</v>
      </c>
    </row>
    <row r="113" ht="46.5" customHeight="1">
      <c r="A113" s="18" t="s">
        <v>1007</v>
      </c>
      <c r="B113" s="17" t="s">
        <v>300</v>
      </c>
      <c r="C113" s="17" t="s">
        <v>61</v>
      </c>
      <c r="D113" s="36" t="s">
        <v>1008</v>
      </c>
      <c r="E113" s="21" t="s">
        <v>264</v>
      </c>
      <c r="F113" s="21" t="s">
        <v>714</v>
      </c>
      <c r="G113" s="21" t="s">
        <v>85</v>
      </c>
      <c r="H113" s="21" t="s">
        <v>88</v>
      </c>
      <c r="I113" s="21" t="s">
        <v>140</v>
      </c>
      <c r="J113" s="17" t="str">
        <f t="shared" si="1"/>
        <v>B · Đòn bẩy chuyển đổi</v>
      </c>
      <c r="K113" s="21"/>
      <c r="L113" s="21">
        <f t="shared" si="2"/>
        <v>36</v>
      </c>
      <c r="M113" s="23" t="s">
        <v>1009</v>
      </c>
      <c r="N113" s="17" t="s">
        <v>1010</v>
      </c>
      <c r="O113" s="17" t="s">
        <v>255</v>
      </c>
      <c r="P113" s="17" t="s">
        <v>110</v>
      </c>
    </row>
    <row r="114" ht="46.5" customHeight="1">
      <c r="A114" s="32" t="s">
        <v>1011</v>
      </c>
      <c r="B114" s="28" t="s">
        <v>300</v>
      </c>
      <c r="C114" s="28" t="s">
        <v>61</v>
      </c>
      <c r="D114" s="56" t="s">
        <v>1012</v>
      </c>
      <c r="E114" s="30" t="s">
        <v>713</v>
      </c>
      <c r="F114" s="30" t="s">
        <v>714</v>
      </c>
      <c r="G114" s="30" t="s">
        <v>85</v>
      </c>
      <c r="H114" s="30" t="s">
        <v>88</v>
      </c>
      <c r="I114" s="30" t="s">
        <v>140</v>
      </c>
      <c r="J114" s="28" t="str">
        <f t="shared" si="1"/>
        <v>B · Đòn bẩy chuyển đổi</v>
      </c>
      <c r="K114" s="30"/>
      <c r="L114" s="30">
        <f t="shared" si="2"/>
        <v>36</v>
      </c>
      <c r="M114" s="42" t="s">
        <v>1013</v>
      </c>
      <c r="N114" s="28" t="s">
        <v>1014</v>
      </c>
      <c r="O114" s="28" t="s">
        <v>255</v>
      </c>
      <c r="P114" s="28" t="s">
        <v>110</v>
      </c>
    </row>
    <row r="115" ht="46.5" customHeight="1">
      <c r="A115" s="18" t="s">
        <v>1015</v>
      </c>
      <c r="B115" s="17" t="s">
        <v>300</v>
      </c>
      <c r="C115" s="17" t="s">
        <v>61</v>
      </c>
      <c r="D115" s="36" t="s">
        <v>1016</v>
      </c>
      <c r="E115" s="21" t="s">
        <v>157</v>
      </c>
      <c r="F115" s="21" t="s">
        <v>714</v>
      </c>
      <c r="G115" s="21" t="s">
        <v>85</v>
      </c>
      <c r="H115" s="21" t="s">
        <v>88</v>
      </c>
      <c r="I115" s="21" t="s">
        <v>140</v>
      </c>
      <c r="J115" s="17" t="str">
        <f t="shared" si="1"/>
        <v>B · Đòn bẩy chuyển đổi</v>
      </c>
      <c r="K115" s="21"/>
      <c r="L115" s="21">
        <f t="shared" si="2"/>
        <v>36</v>
      </c>
      <c r="M115" s="23" t="s">
        <v>1017</v>
      </c>
      <c r="N115" s="17" t="s">
        <v>1018</v>
      </c>
      <c r="O115" s="17" t="s">
        <v>255</v>
      </c>
      <c r="P115" s="17" t="s">
        <v>110</v>
      </c>
    </row>
    <row r="116" ht="46.5" customHeight="1">
      <c r="A116" s="32" t="s">
        <v>1019</v>
      </c>
      <c r="B116" s="28" t="s">
        <v>300</v>
      </c>
      <c r="C116" s="28" t="s">
        <v>61</v>
      </c>
      <c r="D116" s="56" t="s">
        <v>1020</v>
      </c>
      <c r="E116" s="30" t="s">
        <v>713</v>
      </c>
      <c r="F116" s="30" t="s">
        <v>714</v>
      </c>
      <c r="G116" s="30" t="s">
        <v>85</v>
      </c>
      <c r="H116" s="30" t="s">
        <v>88</v>
      </c>
      <c r="I116" s="30" t="s">
        <v>140</v>
      </c>
      <c r="J116" s="28" t="str">
        <f t="shared" si="1"/>
        <v>B · Đòn bẩy chuyển đổi</v>
      </c>
      <c r="K116" s="30"/>
      <c r="L116" s="30">
        <f t="shared" si="2"/>
        <v>36</v>
      </c>
      <c r="M116" s="42" t="s">
        <v>1021</v>
      </c>
      <c r="N116" s="28" t="s">
        <v>1022</v>
      </c>
      <c r="O116" s="28" t="s">
        <v>255</v>
      </c>
      <c r="P116" s="28" t="s">
        <v>151</v>
      </c>
    </row>
    <row r="117" ht="60.0" customHeight="1">
      <c r="A117" s="18" t="s">
        <v>1023</v>
      </c>
      <c r="B117" s="17" t="s">
        <v>300</v>
      </c>
      <c r="C117" s="17" t="s">
        <v>61</v>
      </c>
      <c r="D117" s="36" t="s">
        <v>1024</v>
      </c>
      <c r="E117" s="21" t="s">
        <v>1025</v>
      </c>
      <c r="F117" s="21" t="s">
        <v>714</v>
      </c>
      <c r="G117" s="21" t="s">
        <v>848</v>
      </c>
      <c r="H117" s="21" t="s">
        <v>88</v>
      </c>
      <c r="I117" s="21" t="s">
        <v>140</v>
      </c>
      <c r="J117" s="17" t="str">
        <f t="shared" si="1"/>
        <v>B · Đòn bẩy chuyển đổi</v>
      </c>
      <c r="K117" s="21"/>
      <c r="L117" s="21">
        <f t="shared" si="2"/>
        <v>24</v>
      </c>
      <c r="M117" s="23" t="s">
        <v>1026</v>
      </c>
      <c r="N117" s="17" t="s">
        <v>1027</v>
      </c>
      <c r="O117" s="17" t="s">
        <v>255</v>
      </c>
      <c r="P117" s="17" t="s">
        <v>1028</v>
      </c>
    </row>
    <row r="118" ht="46.5" customHeight="1">
      <c r="A118" s="32" t="s">
        <v>1029</v>
      </c>
      <c r="B118" s="28" t="s">
        <v>300</v>
      </c>
      <c r="C118" s="28" t="s">
        <v>61</v>
      </c>
      <c r="D118" s="56" t="s">
        <v>1030</v>
      </c>
      <c r="E118" s="30" t="s">
        <v>215</v>
      </c>
      <c r="F118" s="30" t="s">
        <v>714</v>
      </c>
      <c r="G118" s="30" t="s">
        <v>85</v>
      </c>
      <c r="H118" s="30" t="s">
        <v>88</v>
      </c>
      <c r="I118" s="30" t="s">
        <v>140</v>
      </c>
      <c r="J118" s="28" t="str">
        <f t="shared" si="1"/>
        <v>B · Đòn bẩy chuyển đổi</v>
      </c>
      <c r="K118" s="30"/>
      <c r="L118" s="30">
        <f t="shared" si="2"/>
        <v>36</v>
      </c>
      <c r="M118" s="42" t="s">
        <v>1031</v>
      </c>
      <c r="N118" s="28" t="s">
        <v>1032</v>
      </c>
      <c r="O118" s="28" t="s">
        <v>255</v>
      </c>
      <c r="P118" s="28" t="s">
        <v>110</v>
      </c>
    </row>
    <row r="119" ht="46.5" customHeight="1">
      <c r="A119" s="18" t="s">
        <v>1033</v>
      </c>
      <c r="B119" s="17" t="s">
        <v>300</v>
      </c>
      <c r="C119" s="17" t="s">
        <v>61</v>
      </c>
      <c r="D119" s="36" t="s">
        <v>1034</v>
      </c>
      <c r="E119" s="21" t="s">
        <v>303</v>
      </c>
      <c r="F119" s="21" t="s">
        <v>83</v>
      </c>
      <c r="G119" s="21" t="s">
        <v>85</v>
      </c>
      <c r="H119" s="21" t="s">
        <v>88</v>
      </c>
      <c r="I119" s="21" t="s">
        <v>140</v>
      </c>
      <c r="J119" s="17" t="str">
        <f t="shared" si="1"/>
        <v>B · Đòn bẩy chuyển đổi</v>
      </c>
      <c r="K119" s="21"/>
      <c r="L119" s="21">
        <f t="shared" si="2"/>
        <v>54</v>
      </c>
      <c r="M119" s="23" t="s">
        <v>1035</v>
      </c>
      <c r="N119" s="17" t="s">
        <v>1036</v>
      </c>
      <c r="O119" s="17" t="s">
        <v>199</v>
      </c>
      <c r="P119" s="17" t="s">
        <v>1037</v>
      </c>
    </row>
    <row r="120" ht="46.5" customHeight="1">
      <c r="A120" s="32" t="s">
        <v>1038</v>
      </c>
      <c r="B120" s="28" t="s">
        <v>300</v>
      </c>
      <c r="C120" s="28" t="s">
        <v>61</v>
      </c>
      <c r="D120" s="56" t="s">
        <v>1039</v>
      </c>
      <c r="E120" s="30" t="s">
        <v>713</v>
      </c>
      <c r="F120" s="30" t="s">
        <v>714</v>
      </c>
      <c r="G120" s="30" t="s">
        <v>848</v>
      </c>
      <c r="H120" s="30" t="s">
        <v>88</v>
      </c>
      <c r="I120" s="30" t="s">
        <v>140</v>
      </c>
      <c r="J120" s="28" t="str">
        <f t="shared" si="1"/>
        <v>B · Đòn bẩy chuyển đổi</v>
      </c>
      <c r="K120" s="30"/>
      <c r="L120" s="30">
        <f t="shared" si="2"/>
        <v>24</v>
      </c>
      <c r="M120" s="42" t="s">
        <v>1040</v>
      </c>
      <c r="N120" s="28" t="s">
        <v>1041</v>
      </c>
      <c r="O120" s="28" t="s">
        <v>255</v>
      </c>
      <c r="P120" s="28" t="s">
        <v>324</v>
      </c>
    </row>
    <row r="121" ht="46.5" customHeight="1">
      <c r="A121" s="18" t="s">
        <v>1042</v>
      </c>
      <c r="B121" s="17" t="s">
        <v>300</v>
      </c>
      <c r="C121" s="17" t="s">
        <v>61</v>
      </c>
      <c r="D121" s="36" t="s">
        <v>1043</v>
      </c>
      <c r="E121" s="21" t="s">
        <v>264</v>
      </c>
      <c r="F121" s="21" t="s">
        <v>714</v>
      </c>
      <c r="G121" s="21" t="s">
        <v>85</v>
      </c>
      <c r="H121" s="21" t="s">
        <v>88</v>
      </c>
      <c r="I121" s="21" t="s">
        <v>140</v>
      </c>
      <c r="J121" s="17" t="str">
        <f t="shared" si="1"/>
        <v>B · Đòn bẩy chuyển đổi</v>
      </c>
      <c r="K121" s="21"/>
      <c r="L121" s="21">
        <f t="shared" si="2"/>
        <v>36</v>
      </c>
      <c r="M121" s="23" t="s">
        <v>1044</v>
      </c>
      <c r="N121" s="17" t="s">
        <v>1045</v>
      </c>
      <c r="O121" s="17" t="s">
        <v>255</v>
      </c>
      <c r="P121" s="17" t="s">
        <v>110</v>
      </c>
    </row>
    <row r="122" ht="46.5" customHeight="1">
      <c r="A122" s="32" t="s">
        <v>1046</v>
      </c>
      <c r="B122" s="28" t="s">
        <v>300</v>
      </c>
      <c r="C122" s="28" t="s">
        <v>61</v>
      </c>
      <c r="D122" s="56" t="s">
        <v>1047</v>
      </c>
      <c r="E122" s="30" t="s">
        <v>157</v>
      </c>
      <c r="F122" s="30" t="s">
        <v>714</v>
      </c>
      <c r="G122" s="30" t="s">
        <v>848</v>
      </c>
      <c r="H122" s="30" t="s">
        <v>88</v>
      </c>
      <c r="I122" s="30" t="s">
        <v>140</v>
      </c>
      <c r="J122" s="28" t="str">
        <f t="shared" si="1"/>
        <v>B · Đòn bẩy chuyển đổi</v>
      </c>
      <c r="K122" s="30"/>
      <c r="L122" s="30">
        <f t="shared" si="2"/>
        <v>24</v>
      </c>
      <c r="M122" s="42" t="s">
        <v>1048</v>
      </c>
      <c r="N122" s="28" t="s">
        <v>1049</v>
      </c>
      <c r="O122" s="28" t="s">
        <v>255</v>
      </c>
      <c r="P122" s="28" t="s">
        <v>110</v>
      </c>
    </row>
    <row r="123" ht="46.5" customHeight="1">
      <c r="A123" s="18" t="s">
        <v>1050</v>
      </c>
      <c r="B123" s="17" t="s">
        <v>300</v>
      </c>
      <c r="C123" s="17" t="s">
        <v>61</v>
      </c>
      <c r="D123" s="36" t="s">
        <v>1051</v>
      </c>
      <c r="E123" s="21" t="s">
        <v>343</v>
      </c>
      <c r="F123" s="21" t="s">
        <v>83</v>
      </c>
      <c r="G123" s="21" t="s">
        <v>85</v>
      </c>
      <c r="H123" s="21" t="s">
        <v>88</v>
      </c>
      <c r="I123" s="21" t="s">
        <v>140</v>
      </c>
      <c r="J123" s="17" t="str">
        <f t="shared" si="1"/>
        <v>B · Đòn bẩy chuyển đổi</v>
      </c>
      <c r="K123" s="21"/>
      <c r="L123" s="21">
        <f t="shared" si="2"/>
        <v>54</v>
      </c>
      <c r="M123" s="23" t="s">
        <v>1052</v>
      </c>
      <c r="N123" s="17" t="s">
        <v>1053</v>
      </c>
      <c r="O123" s="17" t="s">
        <v>347</v>
      </c>
      <c r="P123" s="17" t="s">
        <v>151</v>
      </c>
    </row>
    <row r="124" ht="46.5" customHeight="1">
      <c r="A124" s="32" t="s">
        <v>1054</v>
      </c>
      <c r="B124" s="28" t="s">
        <v>300</v>
      </c>
      <c r="C124" s="28" t="s">
        <v>61</v>
      </c>
      <c r="D124" s="56" t="s">
        <v>1055</v>
      </c>
      <c r="E124" s="30" t="s">
        <v>713</v>
      </c>
      <c r="F124" s="30" t="s">
        <v>714</v>
      </c>
      <c r="G124" s="30" t="s">
        <v>85</v>
      </c>
      <c r="H124" s="30" t="s">
        <v>88</v>
      </c>
      <c r="I124" s="30" t="s">
        <v>140</v>
      </c>
      <c r="J124" s="28" t="str">
        <f t="shared" si="1"/>
        <v>B · Đòn bẩy chuyển đổi</v>
      </c>
      <c r="K124" s="30"/>
      <c r="L124" s="30">
        <f t="shared" si="2"/>
        <v>36</v>
      </c>
      <c r="M124" s="42" t="s">
        <v>779</v>
      </c>
      <c r="N124" s="28" t="s">
        <v>1056</v>
      </c>
      <c r="O124" s="28" t="s">
        <v>109</v>
      </c>
      <c r="P124" s="28" t="s">
        <v>151</v>
      </c>
    </row>
    <row r="125" ht="60.0" customHeight="1">
      <c r="A125" s="18" t="s">
        <v>1057</v>
      </c>
      <c r="B125" s="17" t="s">
        <v>300</v>
      </c>
      <c r="C125" s="17" t="s">
        <v>61</v>
      </c>
      <c r="D125" s="36" t="s">
        <v>1058</v>
      </c>
      <c r="E125" s="21" t="s">
        <v>1025</v>
      </c>
      <c r="F125" s="21" t="s">
        <v>714</v>
      </c>
      <c r="G125" s="21" t="s">
        <v>1059</v>
      </c>
      <c r="H125" s="21" t="s">
        <v>873</v>
      </c>
      <c r="I125" s="21" t="s">
        <v>140</v>
      </c>
      <c r="J125" s="17" t="str">
        <f t="shared" si="1"/>
        <v>B · Đòn bẩy chuyển đổi</v>
      </c>
      <c r="K125" s="21"/>
      <c r="L125" s="21">
        <f t="shared" si="2"/>
        <v>8</v>
      </c>
      <c r="M125" s="23" t="s">
        <v>1060</v>
      </c>
      <c r="N125" s="17" t="s">
        <v>1061</v>
      </c>
      <c r="O125" s="17" t="s">
        <v>255</v>
      </c>
      <c r="P125" s="17" t="s">
        <v>1028</v>
      </c>
    </row>
    <row r="126" ht="60.0" customHeight="1">
      <c r="A126" s="32" t="s">
        <v>1062</v>
      </c>
      <c r="B126" s="28" t="s">
        <v>300</v>
      </c>
      <c r="C126" s="28" t="s">
        <v>61</v>
      </c>
      <c r="D126" s="56" t="s">
        <v>1063</v>
      </c>
      <c r="E126" s="30" t="s">
        <v>1025</v>
      </c>
      <c r="F126" s="30" t="s">
        <v>1064</v>
      </c>
      <c r="G126" s="30" t="s">
        <v>848</v>
      </c>
      <c r="H126" s="30" t="s">
        <v>873</v>
      </c>
      <c r="I126" s="30" t="s">
        <v>140</v>
      </c>
      <c r="J126" s="28" t="str">
        <f t="shared" si="1"/>
        <v>B · Đòn bẩy chuyển đổi</v>
      </c>
      <c r="K126" s="30"/>
      <c r="L126" s="30">
        <f t="shared" si="2"/>
        <v>8</v>
      </c>
      <c r="M126" s="42" t="s">
        <v>1065</v>
      </c>
      <c r="N126" s="28" t="s">
        <v>1066</v>
      </c>
      <c r="O126" s="28" t="s">
        <v>491</v>
      </c>
      <c r="P126" s="28" t="s">
        <v>1028</v>
      </c>
    </row>
    <row r="127" ht="46.5" customHeight="1">
      <c r="A127" s="18" t="s">
        <v>1067</v>
      </c>
      <c r="B127" s="17" t="s">
        <v>300</v>
      </c>
      <c r="C127" s="17" t="s">
        <v>61</v>
      </c>
      <c r="D127" s="36" t="s">
        <v>1068</v>
      </c>
      <c r="E127" s="21" t="s">
        <v>126</v>
      </c>
      <c r="F127" s="21" t="s">
        <v>714</v>
      </c>
      <c r="G127" s="21" t="s">
        <v>848</v>
      </c>
      <c r="H127" s="21" t="s">
        <v>88</v>
      </c>
      <c r="I127" s="21" t="s">
        <v>140</v>
      </c>
      <c r="J127" s="17" t="str">
        <f t="shared" si="1"/>
        <v>B · Đòn bẩy chuyển đổi</v>
      </c>
      <c r="K127" s="21"/>
      <c r="L127" s="21">
        <f t="shared" si="2"/>
        <v>24</v>
      </c>
      <c r="M127" s="23" t="s">
        <v>1069</v>
      </c>
      <c r="N127" s="17" t="s">
        <v>1070</v>
      </c>
      <c r="O127" s="17" t="s">
        <v>199</v>
      </c>
      <c r="P127" s="17" t="s">
        <v>151</v>
      </c>
    </row>
    <row r="128" ht="46.5" customHeight="1">
      <c r="A128" s="32" t="s">
        <v>1071</v>
      </c>
      <c r="B128" s="28" t="s">
        <v>300</v>
      </c>
      <c r="C128" s="28" t="s">
        <v>61</v>
      </c>
      <c r="D128" s="56" t="s">
        <v>1072</v>
      </c>
      <c r="E128" s="30" t="s">
        <v>82</v>
      </c>
      <c r="F128" s="30" t="s">
        <v>714</v>
      </c>
      <c r="G128" s="30" t="s">
        <v>85</v>
      </c>
      <c r="H128" s="30" t="s">
        <v>88</v>
      </c>
      <c r="I128" s="30" t="s">
        <v>140</v>
      </c>
      <c r="J128" s="28" t="str">
        <f t="shared" si="1"/>
        <v>B · Đòn bẩy chuyển đổi</v>
      </c>
      <c r="K128" s="30"/>
      <c r="L128" s="30">
        <f t="shared" si="2"/>
        <v>36</v>
      </c>
      <c r="M128" s="42" t="s">
        <v>1073</v>
      </c>
      <c r="N128" s="28" t="s">
        <v>1074</v>
      </c>
      <c r="O128" s="28" t="s">
        <v>199</v>
      </c>
      <c r="P128" s="28" t="s">
        <v>324</v>
      </c>
    </row>
    <row r="129" ht="46.5" customHeight="1">
      <c r="A129" s="18" t="s">
        <v>1075</v>
      </c>
      <c r="B129" s="17" t="s">
        <v>320</v>
      </c>
      <c r="C129" s="17" t="s">
        <v>61</v>
      </c>
      <c r="D129" s="36" t="s">
        <v>1076</v>
      </c>
      <c r="E129" s="21" t="s">
        <v>157</v>
      </c>
      <c r="F129" s="21" t="s">
        <v>714</v>
      </c>
      <c r="G129" s="21" t="s">
        <v>85</v>
      </c>
      <c r="H129" s="21" t="s">
        <v>873</v>
      </c>
      <c r="I129" s="21" t="s">
        <v>140</v>
      </c>
      <c r="J129" s="17" t="str">
        <f t="shared" si="1"/>
        <v>B · Đòn bẩy chuyển đổi</v>
      </c>
      <c r="K129" s="21"/>
      <c r="L129" s="21">
        <f t="shared" si="2"/>
        <v>24</v>
      </c>
      <c r="M129" s="23" t="s">
        <v>1077</v>
      </c>
      <c r="N129" s="17" t="s">
        <v>1078</v>
      </c>
      <c r="O129" s="17" t="s">
        <v>491</v>
      </c>
      <c r="P129" s="17" t="s">
        <v>110</v>
      </c>
    </row>
    <row r="130" ht="46.5" customHeight="1">
      <c r="A130" s="32" t="s">
        <v>1079</v>
      </c>
      <c r="B130" s="28" t="s">
        <v>320</v>
      </c>
      <c r="C130" s="28" t="s">
        <v>61</v>
      </c>
      <c r="D130" s="56" t="s">
        <v>1080</v>
      </c>
      <c r="E130" s="30" t="s">
        <v>713</v>
      </c>
      <c r="F130" s="30" t="s">
        <v>714</v>
      </c>
      <c r="G130" s="30" t="s">
        <v>85</v>
      </c>
      <c r="H130" s="30" t="s">
        <v>88</v>
      </c>
      <c r="I130" s="30" t="s">
        <v>140</v>
      </c>
      <c r="J130" s="28" t="str">
        <f t="shared" si="1"/>
        <v>B · Đòn bẩy chuyển đổi</v>
      </c>
      <c r="K130" s="30"/>
      <c r="L130" s="30">
        <f t="shared" si="2"/>
        <v>36</v>
      </c>
      <c r="M130" s="42" t="s">
        <v>1081</v>
      </c>
      <c r="N130" s="28" t="s">
        <v>1082</v>
      </c>
      <c r="O130" s="28" t="s">
        <v>491</v>
      </c>
      <c r="P130" s="28" t="s">
        <v>151</v>
      </c>
    </row>
    <row r="131" ht="46.5" customHeight="1">
      <c r="A131" s="18" t="s">
        <v>1083</v>
      </c>
      <c r="B131" s="17" t="s">
        <v>320</v>
      </c>
      <c r="C131" s="17" t="s">
        <v>61</v>
      </c>
      <c r="D131" s="36" t="s">
        <v>1084</v>
      </c>
      <c r="E131" s="21" t="s">
        <v>143</v>
      </c>
      <c r="F131" s="21" t="s">
        <v>83</v>
      </c>
      <c r="G131" s="21" t="s">
        <v>85</v>
      </c>
      <c r="H131" s="21" t="s">
        <v>88</v>
      </c>
      <c r="I131" s="21" t="s">
        <v>140</v>
      </c>
      <c r="J131" s="17" t="str">
        <f t="shared" si="1"/>
        <v>B · Đòn bẩy chuyển đổi</v>
      </c>
      <c r="K131" s="21"/>
      <c r="L131" s="21">
        <f t="shared" si="2"/>
        <v>54</v>
      </c>
      <c r="M131" s="23" t="s">
        <v>1085</v>
      </c>
      <c r="N131" s="17" t="s">
        <v>1086</v>
      </c>
      <c r="O131" s="17" t="s">
        <v>109</v>
      </c>
      <c r="P131" s="17" t="s">
        <v>151</v>
      </c>
    </row>
    <row r="132" ht="46.5" customHeight="1">
      <c r="A132" s="32" t="s">
        <v>1087</v>
      </c>
      <c r="B132" s="28" t="s">
        <v>320</v>
      </c>
      <c r="C132" s="28" t="s">
        <v>61</v>
      </c>
      <c r="D132" s="56" t="s">
        <v>1088</v>
      </c>
      <c r="E132" s="30" t="s">
        <v>126</v>
      </c>
      <c r="F132" s="30" t="s">
        <v>83</v>
      </c>
      <c r="G132" s="30" t="s">
        <v>85</v>
      </c>
      <c r="H132" s="30" t="s">
        <v>88</v>
      </c>
      <c r="I132" s="30" t="s">
        <v>140</v>
      </c>
      <c r="J132" s="28" t="str">
        <f t="shared" si="1"/>
        <v>B · Đòn bẩy chuyển đổi</v>
      </c>
      <c r="K132" s="30"/>
      <c r="L132" s="30">
        <f t="shared" si="2"/>
        <v>54</v>
      </c>
      <c r="M132" s="42" t="s">
        <v>1089</v>
      </c>
      <c r="N132" s="28" t="s">
        <v>1090</v>
      </c>
      <c r="O132" s="28" t="s">
        <v>255</v>
      </c>
      <c r="P132" s="28" t="s">
        <v>151</v>
      </c>
    </row>
    <row r="133" ht="46.5" customHeight="1">
      <c r="A133" s="18" t="s">
        <v>1091</v>
      </c>
      <c r="B133" s="17" t="s">
        <v>320</v>
      </c>
      <c r="C133" s="17" t="s">
        <v>61</v>
      </c>
      <c r="D133" s="36" t="s">
        <v>1092</v>
      </c>
      <c r="E133" s="21" t="s">
        <v>264</v>
      </c>
      <c r="F133" s="21" t="s">
        <v>714</v>
      </c>
      <c r="G133" s="21" t="s">
        <v>85</v>
      </c>
      <c r="H133" s="21" t="s">
        <v>873</v>
      </c>
      <c r="I133" s="21" t="s">
        <v>140</v>
      </c>
      <c r="J133" s="17" t="str">
        <f t="shared" si="1"/>
        <v>B · Đòn bẩy chuyển đổi</v>
      </c>
      <c r="K133" s="21"/>
      <c r="L133" s="21">
        <f t="shared" si="2"/>
        <v>24</v>
      </c>
      <c r="M133" s="23" t="s">
        <v>1065</v>
      </c>
      <c r="N133" s="17" t="s">
        <v>1093</v>
      </c>
      <c r="O133" s="17" t="s">
        <v>491</v>
      </c>
      <c r="P133" s="17" t="s">
        <v>110</v>
      </c>
    </row>
    <row r="134" ht="46.5" customHeight="1">
      <c r="A134" s="32" t="s">
        <v>1094</v>
      </c>
      <c r="B134" s="28" t="s">
        <v>320</v>
      </c>
      <c r="C134" s="28" t="s">
        <v>61</v>
      </c>
      <c r="D134" s="56" t="s">
        <v>1095</v>
      </c>
      <c r="E134" s="30" t="s">
        <v>713</v>
      </c>
      <c r="F134" s="30" t="s">
        <v>714</v>
      </c>
      <c r="G134" s="30" t="s">
        <v>848</v>
      </c>
      <c r="H134" s="30" t="s">
        <v>873</v>
      </c>
      <c r="I134" s="30" t="s">
        <v>140</v>
      </c>
      <c r="J134" s="28" t="str">
        <f t="shared" si="1"/>
        <v>B · Đòn bẩy chuyển đổi</v>
      </c>
      <c r="K134" s="30"/>
      <c r="L134" s="30">
        <f t="shared" si="2"/>
        <v>16</v>
      </c>
      <c r="M134" s="42" t="s">
        <v>1096</v>
      </c>
      <c r="N134" s="28" t="s">
        <v>1097</v>
      </c>
      <c r="O134" s="28" t="s">
        <v>491</v>
      </c>
      <c r="P134" s="28" t="s">
        <v>110</v>
      </c>
    </row>
    <row r="135" ht="46.5" customHeight="1">
      <c r="A135" s="18" t="s">
        <v>1098</v>
      </c>
      <c r="B135" s="17" t="s">
        <v>320</v>
      </c>
      <c r="C135" s="17" t="s">
        <v>61</v>
      </c>
      <c r="D135" s="36" t="s">
        <v>1099</v>
      </c>
      <c r="E135" s="21" t="s">
        <v>343</v>
      </c>
      <c r="F135" s="21" t="s">
        <v>83</v>
      </c>
      <c r="G135" s="21" t="s">
        <v>85</v>
      </c>
      <c r="H135" s="21" t="s">
        <v>873</v>
      </c>
      <c r="I135" s="21" t="s">
        <v>140</v>
      </c>
      <c r="J135" s="17" t="str">
        <f t="shared" si="1"/>
        <v>B · Đòn bẩy chuyển đổi</v>
      </c>
      <c r="K135" s="21"/>
      <c r="L135" s="21">
        <f t="shared" si="2"/>
        <v>36</v>
      </c>
      <c r="M135" s="23" t="s">
        <v>1100</v>
      </c>
      <c r="N135" s="17" t="s">
        <v>1101</v>
      </c>
      <c r="O135" s="17" t="s">
        <v>347</v>
      </c>
      <c r="P135" s="17" t="s">
        <v>151</v>
      </c>
    </row>
    <row r="136" ht="46.5" customHeight="1">
      <c r="A136" s="32" t="s">
        <v>1102</v>
      </c>
      <c r="B136" s="28" t="s">
        <v>320</v>
      </c>
      <c r="C136" s="28" t="s">
        <v>61</v>
      </c>
      <c r="D136" s="56" t="s">
        <v>1103</v>
      </c>
      <c r="E136" s="30" t="s">
        <v>126</v>
      </c>
      <c r="F136" s="30" t="s">
        <v>714</v>
      </c>
      <c r="G136" s="30" t="s">
        <v>848</v>
      </c>
      <c r="H136" s="30" t="s">
        <v>873</v>
      </c>
      <c r="I136" s="30" t="s">
        <v>140</v>
      </c>
      <c r="J136" s="28" t="str">
        <f t="shared" si="1"/>
        <v>B · Đòn bẩy chuyển đổi</v>
      </c>
      <c r="K136" s="30"/>
      <c r="L136" s="30">
        <f t="shared" si="2"/>
        <v>16</v>
      </c>
      <c r="M136" s="42" t="s">
        <v>1104</v>
      </c>
      <c r="N136" s="28" t="s">
        <v>1105</v>
      </c>
      <c r="O136" s="28" t="s">
        <v>491</v>
      </c>
      <c r="P136" s="28" t="s">
        <v>324</v>
      </c>
    </row>
    <row r="137" ht="46.5" customHeight="1">
      <c r="A137" s="18" t="s">
        <v>1106</v>
      </c>
      <c r="B137" s="17" t="s">
        <v>320</v>
      </c>
      <c r="C137" s="17" t="s">
        <v>61</v>
      </c>
      <c r="D137" s="36" t="s">
        <v>1107</v>
      </c>
      <c r="E137" s="21" t="s">
        <v>215</v>
      </c>
      <c r="F137" s="21" t="s">
        <v>714</v>
      </c>
      <c r="G137" s="21" t="s">
        <v>85</v>
      </c>
      <c r="H137" s="21" t="s">
        <v>88</v>
      </c>
      <c r="I137" s="21" t="s">
        <v>140</v>
      </c>
      <c r="J137" s="17" t="str">
        <f t="shared" si="1"/>
        <v>B · Đòn bẩy chuyển đổi</v>
      </c>
      <c r="K137" s="21"/>
      <c r="L137" s="21">
        <f t="shared" si="2"/>
        <v>36</v>
      </c>
      <c r="M137" s="23" t="s">
        <v>1108</v>
      </c>
      <c r="N137" s="17" t="s">
        <v>1109</v>
      </c>
      <c r="O137" s="17" t="s">
        <v>491</v>
      </c>
      <c r="P137" s="17" t="s">
        <v>324</v>
      </c>
    </row>
    <row r="138" ht="46.5" customHeight="1">
      <c r="A138" s="32" t="s">
        <v>1110</v>
      </c>
      <c r="B138" s="28" t="s">
        <v>320</v>
      </c>
      <c r="C138" s="28" t="s">
        <v>61</v>
      </c>
      <c r="D138" s="56" t="s">
        <v>1111</v>
      </c>
      <c r="E138" s="30" t="s">
        <v>713</v>
      </c>
      <c r="F138" s="30" t="s">
        <v>714</v>
      </c>
      <c r="G138" s="30" t="s">
        <v>85</v>
      </c>
      <c r="H138" s="30" t="s">
        <v>88</v>
      </c>
      <c r="I138" s="30" t="s">
        <v>140</v>
      </c>
      <c r="J138" s="28" t="str">
        <f t="shared" si="1"/>
        <v>B · Đòn bẩy chuyển đổi</v>
      </c>
      <c r="K138" s="30"/>
      <c r="L138" s="30">
        <f t="shared" si="2"/>
        <v>36</v>
      </c>
      <c r="M138" s="42" t="s">
        <v>1112</v>
      </c>
      <c r="N138" s="28" t="s">
        <v>1113</v>
      </c>
      <c r="O138" s="28" t="s">
        <v>491</v>
      </c>
      <c r="P138" s="28" t="s">
        <v>110</v>
      </c>
    </row>
    <row r="139" ht="46.5" customHeight="1">
      <c r="A139" s="18" t="s">
        <v>1114</v>
      </c>
      <c r="B139" s="17" t="s">
        <v>320</v>
      </c>
      <c r="C139" s="17" t="s">
        <v>61</v>
      </c>
      <c r="D139" s="36" t="s">
        <v>1115</v>
      </c>
      <c r="E139" s="21" t="s">
        <v>143</v>
      </c>
      <c r="F139" s="21" t="s">
        <v>83</v>
      </c>
      <c r="G139" s="21" t="s">
        <v>85</v>
      </c>
      <c r="H139" s="21" t="s">
        <v>88</v>
      </c>
      <c r="I139" s="21" t="s">
        <v>140</v>
      </c>
      <c r="J139" s="17" t="str">
        <f t="shared" si="1"/>
        <v>B · Đòn bẩy chuyển đổi</v>
      </c>
      <c r="K139" s="21"/>
      <c r="L139" s="21">
        <f t="shared" si="2"/>
        <v>54</v>
      </c>
      <c r="M139" s="23" t="s">
        <v>1116</v>
      </c>
      <c r="N139" s="17" t="s">
        <v>1117</v>
      </c>
      <c r="O139" s="17" t="s">
        <v>109</v>
      </c>
      <c r="P139" s="17" t="s">
        <v>151</v>
      </c>
    </row>
    <row r="140" ht="46.5" customHeight="1">
      <c r="A140" s="32" t="s">
        <v>1118</v>
      </c>
      <c r="B140" s="28" t="s">
        <v>320</v>
      </c>
      <c r="C140" s="28" t="s">
        <v>61</v>
      </c>
      <c r="D140" s="56" t="s">
        <v>1119</v>
      </c>
      <c r="E140" s="30" t="s">
        <v>303</v>
      </c>
      <c r="F140" s="30" t="s">
        <v>83</v>
      </c>
      <c r="G140" s="30" t="s">
        <v>85</v>
      </c>
      <c r="H140" s="30" t="s">
        <v>88</v>
      </c>
      <c r="I140" s="30" t="s">
        <v>140</v>
      </c>
      <c r="J140" s="28" t="str">
        <f t="shared" si="1"/>
        <v>B · Đòn bẩy chuyển đổi</v>
      </c>
      <c r="K140" s="30"/>
      <c r="L140" s="30">
        <f t="shared" si="2"/>
        <v>54</v>
      </c>
      <c r="M140" s="42" t="s">
        <v>1120</v>
      </c>
      <c r="N140" s="28" t="s">
        <v>1121</v>
      </c>
      <c r="O140" s="28" t="s">
        <v>199</v>
      </c>
      <c r="P140" s="28" t="s">
        <v>1122</v>
      </c>
    </row>
    <row r="141" ht="46.5" customHeight="1">
      <c r="A141" s="18" t="s">
        <v>1123</v>
      </c>
      <c r="B141" s="17" t="s">
        <v>320</v>
      </c>
      <c r="C141" s="17" t="s">
        <v>61</v>
      </c>
      <c r="D141" s="36" t="s">
        <v>1124</v>
      </c>
      <c r="E141" s="21" t="s">
        <v>713</v>
      </c>
      <c r="F141" s="21" t="s">
        <v>714</v>
      </c>
      <c r="G141" s="21" t="s">
        <v>848</v>
      </c>
      <c r="H141" s="21" t="s">
        <v>88</v>
      </c>
      <c r="I141" s="21" t="s">
        <v>140</v>
      </c>
      <c r="J141" s="17" t="str">
        <f t="shared" si="1"/>
        <v>B · Đòn bẩy chuyển đổi</v>
      </c>
      <c r="K141" s="21"/>
      <c r="L141" s="21">
        <f t="shared" si="2"/>
        <v>24</v>
      </c>
      <c r="M141" s="23" t="s">
        <v>1125</v>
      </c>
      <c r="N141" s="17" t="s">
        <v>1126</v>
      </c>
      <c r="O141" s="17" t="s">
        <v>109</v>
      </c>
      <c r="P141" s="17" t="s">
        <v>151</v>
      </c>
    </row>
    <row r="142" ht="46.5" customHeight="1">
      <c r="A142" s="32" t="s">
        <v>1127</v>
      </c>
      <c r="B142" s="28" t="s">
        <v>320</v>
      </c>
      <c r="C142" s="28" t="s">
        <v>61</v>
      </c>
      <c r="D142" s="56" t="s">
        <v>1128</v>
      </c>
      <c r="E142" s="30" t="s">
        <v>940</v>
      </c>
      <c r="F142" s="30" t="s">
        <v>714</v>
      </c>
      <c r="G142" s="30" t="s">
        <v>848</v>
      </c>
      <c r="H142" s="30" t="s">
        <v>1129</v>
      </c>
      <c r="I142" s="30" t="s">
        <v>140</v>
      </c>
      <c r="J142" s="28" t="str">
        <f t="shared" si="1"/>
        <v>B · Đòn bẩy chuyển đổi</v>
      </c>
      <c r="K142" s="30"/>
      <c r="L142" s="30">
        <f t="shared" si="2"/>
        <v>8</v>
      </c>
      <c r="M142" s="42" t="s">
        <v>1130</v>
      </c>
      <c r="N142" s="28" t="s">
        <v>1131</v>
      </c>
      <c r="O142" s="28" t="s">
        <v>491</v>
      </c>
      <c r="P142" s="28" t="s">
        <v>324</v>
      </c>
    </row>
    <row r="143" ht="46.5" customHeight="1">
      <c r="A143" s="18" t="s">
        <v>1132</v>
      </c>
      <c r="B143" s="17" t="s">
        <v>320</v>
      </c>
      <c r="C143" s="17" t="s">
        <v>61</v>
      </c>
      <c r="D143" s="36" t="s">
        <v>1133</v>
      </c>
      <c r="E143" s="21" t="s">
        <v>239</v>
      </c>
      <c r="F143" s="21" t="s">
        <v>714</v>
      </c>
      <c r="G143" s="21" t="s">
        <v>85</v>
      </c>
      <c r="H143" s="21" t="s">
        <v>88</v>
      </c>
      <c r="I143" s="21" t="s">
        <v>140</v>
      </c>
      <c r="J143" s="17" t="str">
        <f t="shared" si="1"/>
        <v>B · Đòn bẩy chuyển đổi</v>
      </c>
      <c r="K143" s="21"/>
      <c r="L143" s="21">
        <f t="shared" si="2"/>
        <v>36</v>
      </c>
      <c r="M143" s="23" t="s">
        <v>1134</v>
      </c>
      <c r="N143" s="17" t="s">
        <v>1135</v>
      </c>
      <c r="O143" s="17" t="s">
        <v>491</v>
      </c>
      <c r="P143" s="17" t="s">
        <v>110</v>
      </c>
    </row>
    <row r="144" ht="46.5" customHeight="1">
      <c r="A144" s="32" t="s">
        <v>1136</v>
      </c>
      <c r="B144" s="28" t="s">
        <v>320</v>
      </c>
      <c r="C144" s="28" t="s">
        <v>61</v>
      </c>
      <c r="D144" s="56" t="s">
        <v>1137</v>
      </c>
      <c r="E144" s="30" t="s">
        <v>87</v>
      </c>
      <c r="F144" s="30" t="s">
        <v>83</v>
      </c>
      <c r="G144" s="30" t="s">
        <v>85</v>
      </c>
      <c r="H144" s="30" t="s">
        <v>88</v>
      </c>
      <c r="I144" s="30" t="s">
        <v>140</v>
      </c>
      <c r="J144" s="28" t="str">
        <f t="shared" si="1"/>
        <v>B · Đòn bẩy chuyển đổi</v>
      </c>
      <c r="K144" s="30"/>
      <c r="L144" s="30">
        <f t="shared" si="2"/>
        <v>54</v>
      </c>
      <c r="M144" s="42" t="s">
        <v>1138</v>
      </c>
      <c r="N144" s="28" t="s">
        <v>1139</v>
      </c>
      <c r="O144" s="28" t="s">
        <v>247</v>
      </c>
      <c r="P144" s="28" t="s">
        <v>151</v>
      </c>
    </row>
    <row r="145" ht="46.5" customHeight="1">
      <c r="A145" s="18" t="s">
        <v>1140</v>
      </c>
      <c r="B145" s="17" t="s">
        <v>356</v>
      </c>
      <c r="C145" s="17" t="s">
        <v>37</v>
      </c>
      <c r="D145" s="36" t="s">
        <v>1141</v>
      </c>
      <c r="E145" s="21" t="s">
        <v>589</v>
      </c>
      <c r="F145" s="21" t="s">
        <v>714</v>
      </c>
      <c r="G145" s="21" t="s">
        <v>85</v>
      </c>
      <c r="H145" s="21" t="s">
        <v>88</v>
      </c>
      <c r="I145" s="21" t="s">
        <v>140</v>
      </c>
      <c r="J145" s="17" t="str">
        <f t="shared" si="1"/>
        <v>B · Đòn bẩy chuyển đổi</v>
      </c>
      <c r="K145" s="21"/>
      <c r="L145" s="21">
        <f t="shared" si="2"/>
        <v>36</v>
      </c>
      <c r="M145" s="23" t="s">
        <v>1142</v>
      </c>
      <c r="N145" s="17" t="s">
        <v>1143</v>
      </c>
      <c r="O145" s="17" t="s">
        <v>255</v>
      </c>
      <c r="P145" s="17" t="s">
        <v>113</v>
      </c>
    </row>
    <row r="146" ht="46.5" customHeight="1">
      <c r="A146" s="32" t="s">
        <v>1144</v>
      </c>
      <c r="B146" s="28" t="s">
        <v>356</v>
      </c>
      <c r="C146" s="28" t="s">
        <v>37</v>
      </c>
      <c r="D146" s="56" t="s">
        <v>1145</v>
      </c>
      <c r="E146" s="30" t="s">
        <v>726</v>
      </c>
      <c r="F146" s="30" t="s">
        <v>714</v>
      </c>
      <c r="G146" s="30" t="s">
        <v>848</v>
      </c>
      <c r="H146" s="30" t="s">
        <v>873</v>
      </c>
      <c r="I146" s="30" t="s">
        <v>140</v>
      </c>
      <c r="J146" s="28" t="str">
        <f t="shared" si="1"/>
        <v>B · Đòn bẩy chuyển đổi</v>
      </c>
      <c r="K146" s="30"/>
      <c r="L146" s="30">
        <f t="shared" si="2"/>
        <v>16</v>
      </c>
      <c r="M146" s="42" t="s">
        <v>1146</v>
      </c>
      <c r="N146" s="28" t="s">
        <v>1147</v>
      </c>
      <c r="O146" s="28" t="s">
        <v>199</v>
      </c>
      <c r="P146" s="28" t="s">
        <v>324</v>
      </c>
    </row>
    <row r="147" ht="46.5" customHeight="1">
      <c r="A147" s="18" t="s">
        <v>1148</v>
      </c>
      <c r="B147" s="17" t="s">
        <v>356</v>
      </c>
      <c r="C147" s="17" t="s">
        <v>37</v>
      </c>
      <c r="D147" s="36" t="s">
        <v>1149</v>
      </c>
      <c r="E147" s="21" t="s">
        <v>82</v>
      </c>
      <c r="F147" s="21" t="s">
        <v>714</v>
      </c>
      <c r="G147" s="21" t="s">
        <v>85</v>
      </c>
      <c r="H147" s="21" t="s">
        <v>88</v>
      </c>
      <c r="I147" s="21" t="s">
        <v>140</v>
      </c>
      <c r="J147" s="17" t="str">
        <f t="shared" si="1"/>
        <v>B · Đòn bẩy chuyển đổi</v>
      </c>
      <c r="K147" s="21"/>
      <c r="L147" s="21">
        <f t="shared" si="2"/>
        <v>36</v>
      </c>
      <c r="M147" s="23" t="s">
        <v>1150</v>
      </c>
      <c r="N147" s="17" t="s">
        <v>1151</v>
      </c>
      <c r="O147" s="17" t="s">
        <v>199</v>
      </c>
      <c r="P147" s="17" t="s">
        <v>151</v>
      </c>
    </row>
    <row r="148" ht="46.5" customHeight="1">
      <c r="A148" s="32" t="s">
        <v>1152</v>
      </c>
      <c r="B148" s="28" t="s">
        <v>356</v>
      </c>
      <c r="C148" s="28" t="s">
        <v>37</v>
      </c>
      <c r="D148" s="56" t="s">
        <v>1153</v>
      </c>
      <c r="E148" s="30" t="s">
        <v>1154</v>
      </c>
      <c r="F148" s="30" t="s">
        <v>714</v>
      </c>
      <c r="G148" s="30" t="s">
        <v>848</v>
      </c>
      <c r="H148" s="30" t="s">
        <v>88</v>
      </c>
      <c r="I148" s="30" t="s">
        <v>140</v>
      </c>
      <c r="J148" s="28" t="str">
        <f t="shared" si="1"/>
        <v>B · Đòn bẩy chuyển đổi</v>
      </c>
      <c r="K148" s="30"/>
      <c r="L148" s="30">
        <f t="shared" si="2"/>
        <v>24</v>
      </c>
      <c r="M148" s="42" t="s">
        <v>1150</v>
      </c>
      <c r="N148" s="28" t="s">
        <v>1155</v>
      </c>
      <c r="O148" s="28" t="s">
        <v>255</v>
      </c>
      <c r="P148" s="28" t="s">
        <v>110</v>
      </c>
    </row>
    <row r="149" ht="46.5" customHeight="1">
      <c r="A149" s="18" t="s">
        <v>1156</v>
      </c>
      <c r="B149" s="17" t="s">
        <v>356</v>
      </c>
      <c r="C149" s="17" t="s">
        <v>37</v>
      </c>
      <c r="D149" s="36" t="s">
        <v>1157</v>
      </c>
      <c r="E149" s="21" t="s">
        <v>589</v>
      </c>
      <c r="F149" s="21" t="s">
        <v>714</v>
      </c>
      <c r="G149" s="21" t="s">
        <v>85</v>
      </c>
      <c r="H149" s="21" t="s">
        <v>88</v>
      </c>
      <c r="I149" s="21" t="s">
        <v>140</v>
      </c>
      <c r="J149" s="17" t="str">
        <f t="shared" si="1"/>
        <v>B · Đòn bẩy chuyển đổi</v>
      </c>
      <c r="K149" s="21"/>
      <c r="L149" s="21">
        <f t="shared" si="2"/>
        <v>36</v>
      </c>
      <c r="M149" s="23" t="s">
        <v>1158</v>
      </c>
      <c r="N149" s="17" t="s">
        <v>1159</v>
      </c>
      <c r="O149" s="17" t="s">
        <v>255</v>
      </c>
      <c r="P149" s="17" t="s">
        <v>324</v>
      </c>
    </row>
    <row r="150" ht="46.5" customHeight="1">
      <c r="A150" s="32" t="s">
        <v>1160</v>
      </c>
      <c r="B150" s="28" t="s">
        <v>356</v>
      </c>
      <c r="C150" s="28" t="s">
        <v>37</v>
      </c>
      <c r="D150" s="56" t="s">
        <v>1161</v>
      </c>
      <c r="E150" s="30" t="s">
        <v>1154</v>
      </c>
      <c r="F150" s="30" t="s">
        <v>714</v>
      </c>
      <c r="G150" s="30" t="s">
        <v>85</v>
      </c>
      <c r="H150" s="30" t="s">
        <v>88</v>
      </c>
      <c r="I150" s="30" t="s">
        <v>140</v>
      </c>
      <c r="J150" s="28" t="str">
        <f t="shared" si="1"/>
        <v>B · Đòn bẩy chuyển đổi</v>
      </c>
      <c r="K150" s="30"/>
      <c r="L150" s="30">
        <f t="shared" si="2"/>
        <v>36</v>
      </c>
      <c r="M150" s="42" t="s">
        <v>1162</v>
      </c>
      <c r="N150" s="28" t="s">
        <v>1163</v>
      </c>
      <c r="O150" s="28" t="s">
        <v>255</v>
      </c>
      <c r="P150" s="28" t="s">
        <v>110</v>
      </c>
    </row>
    <row r="151" ht="46.5" customHeight="1">
      <c r="A151" s="18" t="s">
        <v>1164</v>
      </c>
      <c r="B151" s="17" t="s">
        <v>356</v>
      </c>
      <c r="C151" s="17" t="s">
        <v>37</v>
      </c>
      <c r="D151" s="36" t="s">
        <v>1165</v>
      </c>
      <c r="E151" s="21" t="s">
        <v>82</v>
      </c>
      <c r="F151" s="21" t="s">
        <v>1064</v>
      </c>
      <c r="G151" s="21" t="s">
        <v>1059</v>
      </c>
      <c r="H151" s="21" t="s">
        <v>873</v>
      </c>
      <c r="I151" s="21" t="s">
        <v>140</v>
      </c>
      <c r="J151" s="17" t="str">
        <f t="shared" si="1"/>
        <v>B · Đòn bẩy chuyển đổi</v>
      </c>
      <c r="K151" s="21"/>
      <c r="L151" s="21">
        <f t="shared" si="2"/>
        <v>4</v>
      </c>
      <c r="M151" s="23" t="s">
        <v>1166</v>
      </c>
      <c r="N151" s="17" t="s">
        <v>1167</v>
      </c>
      <c r="O151" s="17" t="s">
        <v>199</v>
      </c>
      <c r="P151" s="17" t="s">
        <v>324</v>
      </c>
    </row>
    <row r="152" ht="46.5" customHeight="1">
      <c r="A152" s="32" t="s">
        <v>1168</v>
      </c>
      <c r="B152" s="28" t="s">
        <v>356</v>
      </c>
      <c r="C152" s="28" t="s">
        <v>37</v>
      </c>
      <c r="D152" s="56" t="s">
        <v>1169</v>
      </c>
      <c r="E152" s="30" t="s">
        <v>264</v>
      </c>
      <c r="F152" s="30" t="s">
        <v>714</v>
      </c>
      <c r="G152" s="30" t="s">
        <v>848</v>
      </c>
      <c r="H152" s="30" t="s">
        <v>873</v>
      </c>
      <c r="I152" s="30" t="s">
        <v>140</v>
      </c>
      <c r="J152" s="28" t="str">
        <f t="shared" si="1"/>
        <v>B · Đòn bẩy chuyển đổi</v>
      </c>
      <c r="K152" s="30"/>
      <c r="L152" s="30">
        <f t="shared" si="2"/>
        <v>16</v>
      </c>
      <c r="M152" s="42" t="s">
        <v>1170</v>
      </c>
      <c r="N152" s="28" t="s">
        <v>1171</v>
      </c>
      <c r="O152" s="28" t="s">
        <v>199</v>
      </c>
      <c r="P152" s="28" t="s">
        <v>324</v>
      </c>
    </row>
    <row r="153" ht="46.5" customHeight="1">
      <c r="A153" s="18" t="s">
        <v>1172</v>
      </c>
      <c r="B153" s="17" t="s">
        <v>356</v>
      </c>
      <c r="C153" s="17" t="s">
        <v>37</v>
      </c>
      <c r="D153" s="36" t="s">
        <v>1173</v>
      </c>
      <c r="E153" s="21" t="s">
        <v>157</v>
      </c>
      <c r="F153" s="21" t="s">
        <v>83</v>
      </c>
      <c r="G153" s="21" t="s">
        <v>848</v>
      </c>
      <c r="H153" s="21" t="s">
        <v>88</v>
      </c>
      <c r="I153" s="21" t="s">
        <v>140</v>
      </c>
      <c r="J153" s="17" t="str">
        <f t="shared" si="1"/>
        <v>B · Đòn bẩy chuyển đổi</v>
      </c>
      <c r="K153" s="21"/>
      <c r="L153" s="21">
        <f t="shared" si="2"/>
        <v>36</v>
      </c>
      <c r="M153" s="23" t="s">
        <v>1174</v>
      </c>
      <c r="N153" s="17" t="s">
        <v>1175</v>
      </c>
      <c r="O153" s="17" t="s">
        <v>199</v>
      </c>
      <c r="P153" s="17" t="s">
        <v>324</v>
      </c>
    </row>
    <row r="154" ht="46.5" customHeight="1">
      <c r="A154" s="32" t="s">
        <v>1176</v>
      </c>
      <c r="B154" s="28" t="s">
        <v>356</v>
      </c>
      <c r="C154" s="28" t="s">
        <v>37</v>
      </c>
      <c r="D154" s="56" t="s">
        <v>1177</v>
      </c>
      <c r="E154" s="30" t="s">
        <v>82</v>
      </c>
      <c r="F154" s="30" t="s">
        <v>714</v>
      </c>
      <c r="G154" s="30" t="s">
        <v>848</v>
      </c>
      <c r="H154" s="30" t="s">
        <v>873</v>
      </c>
      <c r="I154" s="30" t="s">
        <v>140</v>
      </c>
      <c r="J154" s="28" t="str">
        <f t="shared" si="1"/>
        <v>B · Đòn bẩy chuyển đổi</v>
      </c>
      <c r="K154" s="30"/>
      <c r="L154" s="30">
        <f t="shared" si="2"/>
        <v>16</v>
      </c>
      <c r="M154" s="42" t="s">
        <v>1178</v>
      </c>
      <c r="N154" s="28" t="s">
        <v>1179</v>
      </c>
      <c r="O154" s="28" t="s">
        <v>199</v>
      </c>
      <c r="P154" s="28" t="s">
        <v>324</v>
      </c>
    </row>
    <row r="155" ht="46.5" customHeight="1">
      <c r="A155" s="18" t="s">
        <v>1180</v>
      </c>
      <c r="B155" s="17" t="s">
        <v>356</v>
      </c>
      <c r="C155" s="17" t="s">
        <v>37</v>
      </c>
      <c r="D155" s="36" t="s">
        <v>1181</v>
      </c>
      <c r="E155" s="21" t="s">
        <v>82</v>
      </c>
      <c r="F155" s="21" t="s">
        <v>714</v>
      </c>
      <c r="G155" s="21" t="s">
        <v>848</v>
      </c>
      <c r="H155" s="21" t="s">
        <v>873</v>
      </c>
      <c r="I155" s="21" t="s">
        <v>140</v>
      </c>
      <c r="J155" s="17" t="str">
        <f t="shared" si="1"/>
        <v>B · Đòn bẩy chuyển đổi</v>
      </c>
      <c r="K155" s="21"/>
      <c r="L155" s="21">
        <f t="shared" si="2"/>
        <v>16</v>
      </c>
      <c r="M155" s="23" t="s">
        <v>1182</v>
      </c>
      <c r="N155" s="17" t="s">
        <v>1183</v>
      </c>
      <c r="O155" s="17" t="s">
        <v>199</v>
      </c>
      <c r="P155" s="17" t="s">
        <v>324</v>
      </c>
    </row>
    <row r="156" ht="46.5" customHeight="1">
      <c r="A156" s="32" t="s">
        <v>1184</v>
      </c>
      <c r="B156" s="28" t="s">
        <v>356</v>
      </c>
      <c r="C156" s="28" t="s">
        <v>37</v>
      </c>
      <c r="D156" s="56" t="s">
        <v>1185</v>
      </c>
      <c r="E156" s="30" t="s">
        <v>87</v>
      </c>
      <c r="F156" s="30" t="s">
        <v>83</v>
      </c>
      <c r="G156" s="30" t="s">
        <v>85</v>
      </c>
      <c r="H156" s="30" t="s">
        <v>88</v>
      </c>
      <c r="I156" s="30" t="s">
        <v>140</v>
      </c>
      <c r="J156" s="28" t="str">
        <f t="shared" si="1"/>
        <v>B · Đòn bẩy chuyển đổi</v>
      </c>
      <c r="K156" s="30"/>
      <c r="L156" s="30">
        <f t="shared" si="2"/>
        <v>54</v>
      </c>
      <c r="M156" s="42" t="s">
        <v>1186</v>
      </c>
      <c r="N156" s="28" t="s">
        <v>1187</v>
      </c>
      <c r="O156" s="28" t="s">
        <v>247</v>
      </c>
      <c r="P156" s="28" t="s">
        <v>151</v>
      </c>
    </row>
    <row r="157" ht="46.5" customHeight="1">
      <c r="A157" s="18" t="s">
        <v>1188</v>
      </c>
      <c r="B157" s="17" t="s">
        <v>356</v>
      </c>
      <c r="C157" s="17" t="s">
        <v>37</v>
      </c>
      <c r="D157" s="36" t="s">
        <v>1189</v>
      </c>
      <c r="E157" s="21" t="s">
        <v>126</v>
      </c>
      <c r="F157" s="21" t="s">
        <v>83</v>
      </c>
      <c r="G157" s="21" t="s">
        <v>848</v>
      </c>
      <c r="H157" s="21" t="s">
        <v>88</v>
      </c>
      <c r="I157" s="21" t="s">
        <v>140</v>
      </c>
      <c r="J157" s="17" t="str">
        <f t="shared" si="1"/>
        <v>B · Đòn bẩy chuyển đổi</v>
      </c>
      <c r="K157" s="21"/>
      <c r="L157" s="21">
        <f t="shared" si="2"/>
        <v>36</v>
      </c>
      <c r="M157" s="23" t="s">
        <v>1190</v>
      </c>
      <c r="N157" s="17" t="s">
        <v>1191</v>
      </c>
      <c r="O157" s="17" t="s">
        <v>109</v>
      </c>
      <c r="P157" s="17" t="s">
        <v>151</v>
      </c>
    </row>
    <row r="158" ht="46.5" customHeight="1">
      <c r="A158" s="32" t="s">
        <v>1192</v>
      </c>
      <c r="B158" s="28" t="s">
        <v>356</v>
      </c>
      <c r="C158" s="28" t="s">
        <v>37</v>
      </c>
      <c r="D158" s="56" t="s">
        <v>1193</v>
      </c>
      <c r="E158" s="30" t="s">
        <v>940</v>
      </c>
      <c r="F158" s="30" t="s">
        <v>714</v>
      </c>
      <c r="G158" s="30" t="s">
        <v>1059</v>
      </c>
      <c r="H158" s="30" t="s">
        <v>1129</v>
      </c>
      <c r="I158" s="30" t="s">
        <v>140</v>
      </c>
      <c r="J158" s="28" t="str">
        <f t="shared" si="1"/>
        <v>B · Đòn bẩy chuyển đổi</v>
      </c>
      <c r="K158" s="30"/>
      <c r="L158" s="30">
        <f t="shared" si="2"/>
        <v>4</v>
      </c>
      <c r="M158" s="42" t="s">
        <v>1194</v>
      </c>
      <c r="N158" s="28" t="s">
        <v>1195</v>
      </c>
      <c r="O158" s="28" t="s">
        <v>199</v>
      </c>
      <c r="P158" s="28" t="s">
        <v>324</v>
      </c>
    </row>
    <row r="159" ht="46.5" customHeight="1">
      <c r="A159" s="18" t="s">
        <v>1196</v>
      </c>
      <c r="B159" s="17" t="s">
        <v>356</v>
      </c>
      <c r="C159" s="17" t="s">
        <v>37</v>
      </c>
      <c r="D159" s="36" t="s">
        <v>1197</v>
      </c>
      <c r="E159" s="21" t="s">
        <v>82</v>
      </c>
      <c r="F159" s="21" t="s">
        <v>83</v>
      </c>
      <c r="G159" s="21" t="s">
        <v>85</v>
      </c>
      <c r="H159" s="21" t="s">
        <v>88</v>
      </c>
      <c r="I159" s="21" t="s">
        <v>140</v>
      </c>
      <c r="J159" s="17" t="str">
        <f t="shared" si="1"/>
        <v>B · Đòn bẩy chuyển đổi</v>
      </c>
      <c r="K159" s="21"/>
      <c r="L159" s="21">
        <f t="shared" si="2"/>
        <v>54</v>
      </c>
      <c r="M159" s="23" t="s">
        <v>1198</v>
      </c>
      <c r="N159" s="17" t="s">
        <v>1199</v>
      </c>
      <c r="O159" s="17" t="s">
        <v>199</v>
      </c>
      <c r="P159" s="17" t="s">
        <v>151</v>
      </c>
    </row>
    <row r="160" ht="60.0" customHeight="1">
      <c r="A160" s="32" t="s">
        <v>1200</v>
      </c>
      <c r="B160" s="28" t="s">
        <v>374</v>
      </c>
      <c r="C160" s="28" t="s">
        <v>61</v>
      </c>
      <c r="D160" s="56" t="s">
        <v>1201</v>
      </c>
      <c r="E160" s="30" t="s">
        <v>215</v>
      </c>
      <c r="F160" s="30" t="s">
        <v>714</v>
      </c>
      <c r="G160" s="30" t="s">
        <v>85</v>
      </c>
      <c r="H160" s="30" t="s">
        <v>88</v>
      </c>
      <c r="I160" s="30" t="s">
        <v>140</v>
      </c>
      <c r="J160" s="28" t="str">
        <f t="shared" si="1"/>
        <v>B · Đòn bẩy chuyển đổi</v>
      </c>
      <c r="K160" s="30"/>
      <c r="L160" s="30">
        <f t="shared" si="2"/>
        <v>18</v>
      </c>
      <c r="M160" s="42" t="s">
        <v>1202</v>
      </c>
      <c r="N160" s="28" t="s">
        <v>1203</v>
      </c>
      <c r="O160" s="28" t="s">
        <v>491</v>
      </c>
      <c r="P160" s="28" t="s">
        <v>1028</v>
      </c>
    </row>
    <row r="161" ht="60.0" customHeight="1">
      <c r="A161" s="18" t="s">
        <v>1204</v>
      </c>
      <c r="B161" s="17" t="s">
        <v>374</v>
      </c>
      <c r="C161" s="17" t="s">
        <v>61</v>
      </c>
      <c r="D161" s="36" t="s">
        <v>1205</v>
      </c>
      <c r="E161" s="21" t="s">
        <v>215</v>
      </c>
      <c r="F161" s="21" t="s">
        <v>714</v>
      </c>
      <c r="G161" s="21" t="s">
        <v>85</v>
      </c>
      <c r="H161" s="21" t="s">
        <v>88</v>
      </c>
      <c r="I161" s="21" t="s">
        <v>140</v>
      </c>
      <c r="J161" s="17" t="str">
        <f t="shared" si="1"/>
        <v>B · Đòn bẩy chuyển đổi</v>
      </c>
      <c r="K161" s="21"/>
      <c r="L161" s="21">
        <f t="shared" si="2"/>
        <v>18</v>
      </c>
      <c r="M161" s="23" t="s">
        <v>1206</v>
      </c>
      <c r="N161" s="17" t="s">
        <v>1207</v>
      </c>
      <c r="O161" s="17" t="s">
        <v>255</v>
      </c>
      <c r="P161" s="17" t="s">
        <v>1028</v>
      </c>
    </row>
    <row r="162" ht="60.0" customHeight="1">
      <c r="A162" s="32" t="s">
        <v>1208</v>
      </c>
      <c r="B162" s="28" t="s">
        <v>374</v>
      </c>
      <c r="C162" s="28" t="s">
        <v>61</v>
      </c>
      <c r="D162" s="56" t="s">
        <v>1209</v>
      </c>
      <c r="E162" s="30" t="s">
        <v>1025</v>
      </c>
      <c r="F162" s="30" t="s">
        <v>714</v>
      </c>
      <c r="G162" s="30" t="s">
        <v>85</v>
      </c>
      <c r="H162" s="30" t="s">
        <v>88</v>
      </c>
      <c r="I162" s="30" t="s">
        <v>140</v>
      </c>
      <c r="J162" s="28" t="str">
        <f t="shared" si="1"/>
        <v>B · Đòn bẩy chuyển đổi</v>
      </c>
      <c r="K162" s="30"/>
      <c r="L162" s="30">
        <f t="shared" si="2"/>
        <v>18</v>
      </c>
      <c r="M162" s="42" t="s">
        <v>1210</v>
      </c>
      <c r="N162" s="28" t="s">
        <v>1211</v>
      </c>
      <c r="O162" s="28" t="s">
        <v>255</v>
      </c>
      <c r="P162" s="28" t="s">
        <v>1028</v>
      </c>
    </row>
    <row r="163" ht="60.0" customHeight="1">
      <c r="A163" s="18" t="s">
        <v>1212</v>
      </c>
      <c r="B163" s="17" t="s">
        <v>374</v>
      </c>
      <c r="C163" s="17" t="s">
        <v>61</v>
      </c>
      <c r="D163" s="36" t="s">
        <v>1213</v>
      </c>
      <c r="E163" s="21" t="s">
        <v>215</v>
      </c>
      <c r="F163" s="21" t="s">
        <v>714</v>
      </c>
      <c r="G163" s="21" t="s">
        <v>85</v>
      </c>
      <c r="H163" s="21" t="s">
        <v>88</v>
      </c>
      <c r="I163" s="21" t="s">
        <v>140</v>
      </c>
      <c r="J163" s="17" t="str">
        <f t="shared" si="1"/>
        <v>B · Đòn bẩy chuyển đổi</v>
      </c>
      <c r="K163" s="21"/>
      <c r="L163" s="21">
        <f t="shared" si="2"/>
        <v>18</v>
      </c>
      <c r="M163" s="23" t="s">
        <v>1214</v>
      </c>
      <c r="N163" s="17" t="s">
        <v>1215</v>
      </c>
      <c r="O163" s="17" t="s">
        <v>255</v>
      </c>
      <c r="P163" s="17" t="s">
        <v>1028</v>
      </c>
    </row>
    <row r="164" ht="46.5" customHeight="1">
      <c r="A164" s="32" t="s">
        <v>1216</v>
      </c>
      <c r="B164" s="28" t="s">
        <v>374</v>
      </c>
      <c r="C164" s="28" t="s">
        <v>61</v>
      </c>
      <c r="D164" s="56" t="s">
        <v>1217</v>
      </c>
      <c r="E164" s="30" t="s">
        <v>1025</v>
      </c>
      <c r="F164" s="30" t="s">
        <v>714</v>
      </c>
      <c r="G164" s="30" t="s">
        <v>85</v>
      </c>
      <c r="H164" s="30" t="s">
        <v>88</v>
      </c>
      <c r="I164" s="30" t="s">
        <v>140</v>
      </c>
      <c r="J164" s="28" t="str">
        <f t="shared" si="1"/>
        <v>B · Đòn bẩy chuyển đổi</v>
      </c>
      <c r="K164" s="30"/>
      <c r="L164" s="30">
        <f t="shared" si="2"/>
        <v>18</v>
      </c>
      <c r="M164" s="42" t="s">
        <v>1218</v>
      </c>
      <c r="N164" s="28" t="s">
        <v>1219</v>
      </c>
      <c r="O164" s="28" t="s">
        <v>255</v>
      </c>
      <c r="P164" s="28" t="s">
        <v>151</v>
      </c>
    </row>
    <row r="165" ht="46.5" customHeight="1">
      <c r="A165" s="18" t="s">
        <v>1220</v>
      </c>
      <c r="B165" s="17" t="s">
        <v>374</v>
      </c>
      <c r="C165" s="17" t="s">
        <v>61</v>
      </c>
      <c r="D165" s="36" t="s">
        <v>1221</v>
      </c>
      <c r="E165" s="21" t="s">
        <v>215</v>
      </c>
      <c r="F165" s="21" t="s">
        <v>714</v>
      </c>
      <c r="G165" s="21" t="s">
        <v>85</v>
      </c>
      <c r="H165" s="21" t="s">
        <v>88</v>
      </c>
      <c r="I165" s="21" t="s">
        <v>140</v>
      </c>
      <c r="J165" s="17" t="str">
        <f t="shared" si="1"/>
        <v>B · Đòn bẩy chuyển đổi</v>
      </c>
      <c r="K165" s="21"/>
      <c r="L165" s="21">
        <f t="shared" si="2"/>
        <v>18</v>
      </c>
      <c r="M165" s="23" t="s">
        <v>1222</v>
      </c>
      <c r="N165" s="17" t="s">
        <v>1223</v>
      </c>
      <c r="O165" s="17" t="s">
        <v>255</v>
      </c>
      <c r="P165" s="17" t="s">
        <v>110</v>
      </c>
    </row>
    <row r="166" ht="60.0" customHeight="1">
      <c r="A166" s="32" t="s">
        <v>1224</v>
      </c>
      <c r="B166" s="28" t="s">
        <v>374</v>
      </c>
      <c r="C166" s="28" t="s">
        <v>61</v>
      </c>
      <c r="D166" s="56" t="s">
        <v>1225</v>
      </c>
      <c r="E166" s="30" t="s">
        <v>215</v>
      </c>
      <c r="F166" s="30" t="s">
        <v>1064</v>
      </c>
      <c r="G166" s="30" t="s">
        <v>85</v>
      </c>
      <c r="H166" s="30" t="s">
        <v>88</v>
      </c>
      <c r="I166" s="30" t="s">
        <v>140</v>
      </c>
      <c r="J166" s="28" t="str">
        <f t="shared" si="1"/>
        <v>B · Đòn bẩy chuyển đổi</v>
      </c>
      <c r="K166" s="30"/>
      <c r="L166" s="30">
        <f t="shared" si="2"/>
        <v>9</v>
      </c>
      <c r="M166" s="42" t="s">
        <v>1108</v>
      </c>
      <c r="N166" s="28" t="s">
        <v>1226</v>
      </c>
      <c r="O166" s="28" t="s">
        <v>491</v>
      </c>
      <c r="P166" s="28" t="s">
        <v>1028</v>
      </c>
    </row>
    <row r="167" ht="46.5" customHeight="1">
      <c r="A167" s="18" t="s">
        <v>1227</v>
      </c>
      <c r="B167" s="17" t="s">
        <v>374</v>
      </c>
      <c r="C167" s="17" t="s">
        <v>61</v>
      </c>
      <c r="D167" s="36" t="s">
        <v>1228</v>
      </c>
      <c r="E167" s="21" t="s">
        <v>215</v>
      </c>
      <c r="F167" s="21" t="s">
        <v>714</v>
      </c>
      <c r="G167" s="21" t="s">
        <v>848</v>
      </c>
      <c r="H167" s="21" t="s">
        <v>88</v>
      </c>
      <c r="I167" s="21" t="s">
        <v>140</v>
      </c>
      <c r="J167" s="17" t="str">
        <f t="shared" si="1"/>
        <v>B · Đòn bẩy chuyển đổi</v>
      </c>
      <c r="K167" s="21"/>
      <c r="L167" s="21">
        <f t="shared" si="2"/>
        <v>12</v>
      </c>
      <c r="M167" s="23" t="s">
        <v>1229</v>
      </c>
      <c r="N167" s="17" t="s">
        <v>1230</v>
      </c>
      <c r="O167" s="17" t="s">
        <v>255</v>
      </c>
      <c r="P167" s="17" t="s">
        <v>324</v>
      </c>
    </row>
    <row r="168" ht="46.5" customHeight="1">
      <c r="A168" s="32" t="s">
        <v>1231</v>
      </c>
      <c r="B168" s="28" t="s">
        <v>374</v>
      </c>
      <c r="C168" s="28" t="s">
        <v>61</v>
      </c>
      <c r="D168" s="56" t="s">
        <v>1232</v>
      </c>
      <c r="E168" s="30" t="s">
        <v>126</v>
      </c>
      <c r="F168" s="30" t="s">
        <v>714</v>
      </c>
      <c r="G168" s="30" t="s">
        <v>85</v>
      </c>
      <c r="H168" s="30" t="s">
        <v>88</v>
      </c>
      <c r="I168" s="30" t="s">
        <v>140</v>
      </c>
      <c r="J168" s="28" t="str">
        <f t="shared" si="1"/>
        <v>B · Đòn bẩy chuyển đổi</v>
      </c>
      <c r="K168" s="30"/>
      <c r="L168" s="30">
        <f t="shared" si="2"/>
        <v>18</v>
      </c>
      <c r="M168" s="42" t="s">
        <v>1233</v>
      </c>
      <c r="N168" s="28" t="s">
        <v>1234</v>
      </c>
      <c r="O168" s="28" t="s">
        <v>199</v>
      </c>
      <c r="P168" s="28" t="s">
        <v>151</v>
      </c>
    </row>
    <row r="169" ht="46.5" customHeight="1">
      <c r="A169" s="18" t="s">
        <v>1235</v>
      </c>
      <c r="B169" s="17" t="s">
        <v>374</v>
      </c>
      <c r="C169" s="17" t="s">
        <v>61</v>
      </c>
      <c r="D169" s="36" t="s">
        <v>1236</v>
      </c>
      <c r="E169" s="21" t="s">
        <v>157</v>
      </c>
      <c r="F169" s="21" t="s">
        <v>714</v>
      </c>
      <c r="G169" s="21" t="s">
        <v>848</v>
      </c>
      <c r="H169" s="21" t="s">
        <v>873</v>
      </c>
      <c r="I169" s="21" t="s">
        <v>140</v>
      </c>
      <c r="J169" s="17" t="str">
        <f t="shared" si="1"/>
        <v>B · Đòn bẩy chuyển đổi</v>
      </c>
      <c r="K169" s="21"/>
      <c r="L169" s="21">
        <f t="shared" si="2"/>
        <v>8</v>
      </c>
      <c r="M169" s="23" t="s">
        <v>1237</v>
      </c>
      <c r="N169" s="17" t="s">
        <v>1238</v>
      </c>
      <c r="O169" s="17" t="s">
        <v>199</v>
      </c>
      <c r="P169" s="17" t="s">
        <v>324</v>
      </c>
    </row>
    <row r="170" ht="46.5" customHeight="1">
      <c r="A170" s="32" t="s">
        <v>1239</v>
      </c>
      <c r="B170" s="28" t="s">
        <v>374</v>
      </c>
      <c r="C170" s="28" t="s">
        <v>61</v>
      </c>
      <c r="D170" s="56" t="s">
        <v>1240</v>
      </c>
      <c r="E170" s="30" t="s">
        <v>126</v>
      </c>
      <c r="F170" s="30" t="s">
        <v>714</v>
      </c>
      <c r="G170" s="30" t="s">
        <v>85</v>
      </c>
      <c r="H170" s="30" t="s">
        <v>88</v>
      </c>
      <c r="I170" s="30" t="s">
        <v>140</v>
      </c>
      <c r="J170" s="28" t="str">
        <f t="shared" si="1"/>
        <v>B · Đòn bẩy chuyển đổi</v>
      </c>
      <c r="K170" s="30"/>
      <c r="L170" s="30">
        <f t="shared" si="2"/>
        <v>18</v>
      </c>
      <c r="M170" s="42" t="s">
        <v>1241</v>
      </c>
      <c r="N170" s="28" t="s">
        <v>1242</v>
      </c>
      <c r="O170" s="28" t="s">
        <v>583</v>
      </c>
      <c r="P170" s="28" t="s">
        <v>324</v>
      </c>
    </row>
    <row r="171" ht="46.5" customHeight="1">
      <c r="A171" s="18" t="s">
        <v>1243</v>
      </c>
      <c r="B171" s="17" t="s">
        <v>374</v>
      </c>
      <c r="C171" s="17" t="s">
        <v>61</v>
      </c>
      <c r="D171" s="36" t="s">
        <v>1244</v>
      </c>
      <c r="E171" s="21" t="s">
        <v>264</v>
      </c>
      <c r="F171" s="21" t="s">
        <v>714</v>
      </c>
      <c r="G171" s="21" t="s">
        <v>85</v>
      </c>
      <c r="H171" s="21" t="s">
        <v>88</v>
      </c>
      <c r="I171" s="21" t="s">
        <v>140</v>
      </c>
      <c r="J171" s="17" t="str">
        <f t="shared" si="1"/>
        <v>B · Đòn bẩy chuyển đổi</v>
      </c>
      <c r="K171" s="21"/>
      <c r="L171" s="21">
        <f t="shared" si="2"/>
        <v>18</v>
      </c>
      <c r="M171" s="23" t="s">
        <v>1245</v>
      </c>
      <c r="N171" s="17" t="s">
        <v>1246</v>
      </c>
      <c r="O171" s="17" t="s">
        <v>1247</v>
      </c>
      <c r="P171" s="17" t="s">
        <v>110</v>
      </c>
    </row>
    <row r="172" ht="46.5" customHeight="1">
      <c r="A172" s="32" t="s">
        <v>1248</v>
      </c>
      <c r="B172" s="28" t="s">
        <v>374</v>
      </c>
      <c r="C172" s="28" t="s">
        <v>61</v>
      </c>
      <c r="D172" s="56" t="s">
        <v>1249</v>
      </c>
      <c r="E172" s="30" t="s">
        <v>264</v>
      </c>
      <c r="F172" s="30" t="s">
        <v>714</v>
      </c>
      <c r="G172" s="30" t="s">
        <v>85</v>
      </c>
      <c r="H172" s="30" t="s">
        <v>88</v>
      </c>
      <c r="I172" s="30" t="s">
        <v>140</v>
      </c>
      <c r="J172" s="28" t="str">
        <f t="shared" si="1"/>
        <v>B · Đòn bẩy chuyển đổi</v>
      </c>
      <c r="K172" s="30"/>
      <c r="L172" s="30">
        <f t="shared" si="2"/>
        <v>18</v>
      </c>
      <c r="M172" s="42" t="s">
        <v>1250</v>
      </c>
      <c r="N172" s="28" t="s">
        <v>1251</v>
      </c>
      <c r="O172" s="28" t="s">
        <v>255</v>
      </c>
      <c r="P172" s="28" t="s">
        <v>324</v>
      </c>
    </row>
    <row r="173" ht="60.0" customHeight="1">
      <c r="A173" s="18" t="s">
        <v>1252</v>
      </c>
      <c r="B173" s="17" t="s">
        <v>374</v>
      </c>
      <c r="C173" s="17" t="s">
        <v>61</v>
      </c>
      <c r="D173" s="36" t="s">
        <v>1253</v>
      </c>
      <c r="E173" s="21" t="s">
        <v>1025</v>
      </c>
      <c r="F173" s="21" t="s">
        <v>714</v>
      </c>
      <c r="G173" s="21" t="s">
        <v>85</v>
      </c>
      <c r="H173" s="21" t="s">
        <v>88</v>
      </c>
      <c r="I173" s="21" t="s">
        <v>140</v>
      </c>
      <c r="J173" s="17" t="str">
        <f t="shared" si="1"/>
        <v>B · Đòn bẩy chuyển đổi</v>
      </c>
      <c r="K173" s="21"/>
      <c r="L173" s="21">
        <f t="shared" si="2"/>
        <v>18</v>
      </c>
      <c r="M173" s="23" t="s">
        <v>1254</v>
      </c>
      <c r="N173" s="17" t="s">
        <v>1255</v>
      </c>
      <c r="O173" s="17" t="s">
        <v>255</v>
      </c>
      <c r="P173" s="17" t="s">
        <v>1028</v>
      </c>
    </row>
    <row r="174" ht="60.0" customHeight="1">
      <c r="A174" s="32" t="s">
        <v>1256</v>
      </c>
      <c r="B174" s="28" t="s">
        <v>374</v>
      </c>
      <c r="C174" s="28" t="s">
        <v>61</v>
      </c>
      <c r="D174" s="56" t="s">
        <v>1257</v>
      </c>
      <c r="E174" s="30" t="s">
        <v>215</v>
      </c>
      <c r="F174" s="30" t="s">
        <v>1064</v>
      </c>
      <c r="G174" s="30" t="s">
        <v>848</v>
      </c>
      <c r="H174" s="30" t="s">
        <v>873</v>
      </c>
      <c r="I174" s="30" t="s">
        <v>140</v>
      </c>
      <c r="J174" s="28" t="str">
        <f t="shared" si="1"/>
        <v>B · Đòn bẩy chuyển đổi</v>
      </c>
      <c r="K174" s="30"/>
      <c r="L174" s="30">
        <f t="shared" si="2"/>
        <v>4</v>
      </c>
      <c r="M174" s="42" t="s">
        <v>1258</v>
      </c>
      <c r="N174" s="28" t="s">
        <v>1259</v>
      </c>
      <c r="O174" s="28" t="s">
        <v>491</v>
      </c>
      <c r="P174" s="28" t="s">
        <v>1028</v>
      </c>
    </row>
    <row r="175" ht="60.0" customHeight="1">
      <c r="A175" s="18" t="s">
        <v>1260</v>
      </c>
      <c r="B175" s="17" t="s">
        <v>374</v>
      </c>
      <c r="C175" s="17" t="s">
        <v>61</v>
      </c>
      <c r="D175" s="36" t="s">
        <v>1261</v>
      </c>
      <c r="E175" s="21" t="s">
        <v>1262</v>
      </c>
      <c r="F175" s="21" t="s">
        <v>714</v>
      </c>
      <c r="G175" s="21" t="s">
        <v>848</v>
      </c>
      <c r="H175" s="21" t="s">
        <v>88</v>
      </c>
      <c r="I175" s="21" t="s">
        <v>140</v>
      </c>
      <c r="J175" s="17" t="str">
        <f t="shared" si="1"/>
        <v>B · Đòn bẩy chuyển đổi</v>
      </c>
      <c r="K175" s="21"/>
      <c r="L175" s="21">
        <f t="shared" si="2"/>
        <v>12</v>
      </c>
      <c r="M175" s="23" t="s">
        <v>1263</v>
      </c>
      <c r="N175" s="17" t="s">
        <v>1264</v>
      </c>
      <c r="O175" s="17" t="s">
        <v>255</v>
      </c>
      <c r="P175" s="17" t="s">
        <v>1028</v>
      </c>
    </row>
    <row r="176" ht="46.5" customHeight="1">
      <c r="A176" s="32" t="s">
        <v>1265</v>
      </c>
      <c r="B176" s="28" t="s">
        <v>374</v>
      </c>
      <c r="C176" s="28" t="s">
        <v>61</v>
      </c>
      <c r="D176" s="56" t="s">
        <v>1266</v>
      </c>
      <c r="E176" s="30" t="s">
        <v>264</v>
      </c>
      <c r="F176" s="30" t="s">
        <v>714</v>
      </c>
      <c r="G176" s="30" t="s">
        <v>85</v>
      </c>
      <c r="H176" s="30" t="s">
        <v>88</v>
      </c>
      <c r="I176" s="30" t="s">
        <v>140</v>
      </c>
      <c r="J176" s="28" t="str">
        <f t="shared" si="1"/>
        <v>B · Đòn bẩy chuyển đổi</v>
      </c>
      <c r="K176" s="30"/>
      <c r="L176" s="30">
        <f t="shared" si="2"/>
        <v>18</v>
      </c>
      <c r="M176" s="42" t="s">
        <v>1267</v>
      </c>
      <c r="N176" s="28" t="s">
        <v>1268</v>
      </c>
      <c r="O176" s="28" t="s">
        <v>255</v>
      </c>
      <c r="P176" s="28" t="s">
        <v>110</v>
      </c>
    </row>
    <row r="177" ht="46.5" customHeight="1">
      <c r="A177" s="18" t="s">
        <v>1269</v>
      </c>
      <c r="B177" s="17" t="s">
        <v>374</v>
      </c>
      <c r="C177" s="17" t="s">
        <v>61</v>
      </c>
      <c r="D177" s="36" t="s">
        <v>1270</v>
      </c>
      <c r="E177" s="21" t="s">
        <v>589</v>
      </c>
      <c r="F177" s="21" t="s">
        <v>714</v>
      </c>
      <c r="G177" s="21" t="s">
        <v>848</v>
      </c>
      <c r="H177" s="21" t="s">
        <v>88</v>
      </c>
      <c r="I177" s="21" t="s">
        <v>140</v>
      </c>
      <c r="J177" s="17" t="str">
        <f t="shared" si="1"/>
        <v>B · Đòn bẩy chuyển đổi</v>
      </c>
      <c r="K177" s="21"/>
      <c r="L177" s="21">
        <f t="shared" si="2"/>
        <v>12</v>
      </c>
      <c r="M177" s="23" t="s">
        <v>1271</v>
      </c>
      <c r="N177" s="17" t="s">
        <v>1272</v>
      </c>
      <c r="O177" s="17" t="s">
        <v>255</v>
      </c>
      <c r="P177" s="17" t="s">
        <v>324</v>
      </c>
    </row>
    <row r="178" ht="60.0" customHeight="1">
      <c r="A178" s="32" t="s">
        <v>1273</v>
      </c>
      <c r="B178" s="28" t="s">
        <v>374</v>
      </c>
      <c r="C178" s="28" t="s">
        <v>61</v>
      </c>
      <c r="D178" s="56" t="s">
        <v>1274</v>
      </c>
      <c r="E178" s="30" t="s">
        <v>1025</v>
      </c>
      <c r="F178" s="30" t="s">
        <v>714</v>
      </c>
      <c r="G178" s="30" t="s">
        <v>848</v>
      </c>
      <c r="H178" s="30" t="s">
        <v>873</v>
      </c>
      <c r="I178" s="30" t="s">
        <v>140</v>
      </c>
      <c r="J178" s="28" t="str">
        <f t="shared" si="1"/>
        <v>B · Đòn bẩy chuyển đổi</v>
      </c>
      <c r="K178" s="30"/>
      <c r="L178" s="30">
        <f t="shared" si="2"/>
        <v>8</v>
      </c>
      <c r="M178" s="42" t="s">
        <v>1275</v>
      </c>
      <c r="N178" s="28" t="s">
        <v>1276</v>
      </c>
      <c r="O178" s="28" t="s">
        <v>347</v>
      </c>
      <c r="P178" s="28" t="s">
        <v>1028</v>
      </c>
    </row>
    <row r="179" ht="60.0" customHeight="1">
      <c r="A179" s="18" t="s">
        <v>1277</v>
      </c>
      <c r="B179" s="17" t="s">
        <v>374</v>
      </c>
      <c r="C179" s="17" t="s">
        <v>61</v>
      </c>
      <c r="D179" s="36" t="s">
        <v>1278</v>
      </c>
      <c r="E179" s="21" t="s">
        <v>1025</v>
      </c>
      <c r="F179" s="21" t="s">
        <v>714</v>
      </c>
      <c r="G179" s="21" t="s">
        <v>85</v>
      </c>
      <c r="H179" s="21" t="s">
        <v>88</v>
      </c>
      <c r="I179" s="21" t="s">
        <v>140</v>
      </c>
      <c r="J179" s="17" t="str">
        <f t="shared" si="1"/>
        <v>B · Đòn bẩy chuyển đổi</v>
      </c>
      <c r="K179" s="21"/>
      <c r="L179" s="21">
        <f t="shared" si="2"/>
        <v>18</v>
      </c>
      <c r="M179" s="23" t="s">
        <v>1279</v>
      </c>
      <c r="N179" s="17" t="s">
        <v>1280</v>
      </c>
      <c r="O179" s="17" t="s">
        <v>255</v>
      </c>
      <c r="P179" s="17" t="s">
        <v>1028</v>
      </c>
    </row>
    <row r="180" ht="46.5" hidden="1" customHeight="1">
      <c r="A180" s="32" t="s">
        <v>1281</v>
      </c>
      <c r="B180" s="28" t="s">
        <v>341</v>
      </c>
      <c r="C180" s="28" t="s">
        <v>61</v>
      </c>
      <c r="D180" s="56" t="s">
        <v>1282</v>
      </c>
      <c r="E180" s="30" t="s">
        <v>1025</v>
      </c>
      <c r="F180" s="30" t="s">
        <v>714</v>
      </c>
      <c r="G180" s="30" t="s">
        <v>85</v>
      </c>
      <c r="H180" s="30" t="s">
        <v>88</v>
      </c>
      <c r="I180" s="30" t="s">
        <v>140</v>
      </c>
      <c r="J180" s="28" t="str">
        <f t="shared" si="1"/>
        <v>C · Uy tín &amp; giữ chân</v>
      </c>
      <c r="K180" s="30"/>
      <c r="L180" s="30">
        <f t="shared" si="2"/>
        <v>36</v>
      </c>
      <c r="M180" s="42" t="s">
        <v>1283</v>
      </c>
      <c r="N180" s="28" t="s">
        <v>1284</v>
      </c>
      <c r="O180" s="28" t="s">
        <v>199</v>
      </c>
      <c r="P180" s="28" t="s">
        <v>151</v>
      </c>
    </row>
    <row r="181" ht="46.5" hidden="1" customHeight="1">
      <c r="A181" s="18" t="s">
        <v>1285</v>
      </c>
      <c r="B181" s="17" t="s">
        <v>341</v>
      </c>
      <c r="C181" s="17" t="s">
        <v>61</v>
      </c>
      <c r="D181" s="36" t="s">
        <v>1286</v>
      </c>
      <c r="E181" s="21" t="s">
        <v>126</v>
      </c>
      <c r="F181" s="21" t="s">
        <v>83</v>
      </c>
      <c r="G181" s="21" t="s">
        <v>85</v>
      </c>
      <c r="H181" s="21" t="s">
        <v>88</v>
      </c>
      <c r="I181" s="21" t="s">
        <v>140</v>
      </c>
      <c r="J181" s="17" t="str">
        <f t="shared" si="1"/>
        <v>C · Uy tín &amp; giữ chân</v>
      </c>
      <c r="K181" s="21"/>
      <c r="L181" s="21">
        <f t="shared" si="2"/>
        <v>54</v>
      </c>
      <c r="M181" s="23" t="s">
        <v>1287</v>
      </c>
      <c r="N181" s="17" t="s">
        <v>1288</v>
      </c>
      <c r="O181" s="17" t="s">
        <v>255</v>
      </c>
      <c r="P181" s="17" t="s">
        <v>151</v>
      </c>
    </row>
    <row r="182" ht="46.5" hidden="1" customHeight="1">
      <c r="A182" s="32" t="s">
        <v>1289</v>
      </c>
      <c r="B182" s="28" t="s">
        <v>341</v>
      </c>
      <c r="C182" s="28" t="s">
        <v>61</v>
      </c>
      <c r="D182" s="56" t="s">
        <v>1290</v>
      </c>
      <c r="E182" s="30" t="s">
        <v>1291</v>
      </c>
      <c r="F182" s="30" t="s">
        <v>714</v>
      </c>
      <c r="G182" s="30" t="s">
        <v>85</v>
      </c>
      <c r="H182" s="30" t="s">
        <v>88</v>
      </c>
      <c r="I182" s="30" t="s">
        <v>140</v>
      </c>
      <c r="J182" s="28" t="str">
        <f t="shared" si="1"/>
        <v>C · Uy tín &amp; giữ chân</v>
      </c>
      <c r="K182" s="30"/>
      <c r="L182" s="30">
        <f t="shared" si="2"/>
        <v>36</v>
      </c>
      <c r="M182" s="42" t="s">
        <v>1292</v>
      </c>
      <c r="N182" s="28" t="s">
        <v>1293</v>
      </c>
      <c r="O182" s="28" t="s">
        <v>199</v>
      </c>
      <c r="P182" s="28" t="s">
        <v>151</v>
      </c>
    </row>
    <row r="183" ht="46.5" hidden="1" customHeight="1">
      <c r="A183" s="18" t="s">
        <v>1294</v>
      </c>
      <c r="B183" s="17" t="s">
        <v>341</v>
      </c>
      <c r="C183" s="17" t="s">
        <v>61</v>
      </c>
      <c r="D183" s="36" t="s">
        <v>1295</v>
      </c>
      <c r="E183" s="21" t="s">
        <v>1025</v>
      </c>
      <c r="F183" s="21" t="s">
        <v>714</v>
      </c>
      <c r="G183" s="21" t="s">
        <v>848</v>
      </c>
      <c r="H183" s="21" t="s">
        <v>88</v>
      </c>
      <c r="I183" s="21" t="s">
        <v>140</v>
      </c>
      <c r="J183" s="17" t="str">
        <f t="shared" si="1"/>
        <v>C · Uy tín &amp; giữ chân</v>
      </c>
      <c r="K183" s="21"/>
      <c r="L183" s="21">
        <f t="shared" si="2"/>
        <v>24</v>
      </c>
      <c r="M183" s="23" t="s">
        <v>1296</v>
      </c>
      <c r="N183" s="17" t="s">
        <v>1297</v>
      </c>
      <c r="O183" s="17" t="s">
        <v>255</v>
      </c>
      <c r="P183" s="17" t="s">
        <v>151</v>
      </c>
    </row>
    <row r="184" ht="46.5" hidden="1" customHeight="1">
      <c r="A184" s="32" t="s">
        <v>1298</v>
      </c>
      <c r="B184" s="28" t="s">
        <v>341</v>
      </c>
      <c r="C184" s="28" t="s">
        <v>61</v>
      </c>
      <c r="D184" s="56" t="s">
        <v>1299</v>
      </c>
      <c r="E184" s="30" t="s">
        <v>1291</v>
      </c>
      <c r="F184" s="30" t="s">
        <v>1064</v>
      </c>
      <c r="G184" s="30" t="s">
        <v>848</v>
      </c>
      <c r="H184" s="30" t="s">
        <v>873</v>
      </c>
      <c r="I184" s="30" t="s">
        <v>140</v>
      </c>
      <c r="J184" s="28" t="str">
        <f t="shared" si="1"/>
        <v>C · Uy tín &amp; giữ chân</v>
      </c>
      <c r="K184" s="30"/>
      <c r="L184" s="30">
        <f t="shared" si="2"/>
        <v>8</v>
      </c>
      <c r="M184" s="42" t="s">
        <v>1300</v>
      </c>
      <c r="N184" s="28" t="s">
        <v>1301</v>
      </c>
      <c r="O184" s="28" t="s">
        <v>199</v>
      </c>
      <c r="P184" s="28" t="s">
        <v>110</v>
      </c>
    </row>
    <row r="185" ht="46.5" hidden="1" customHeight="1">
      <c r="A185" s="18" t="s">
        <v>1302</v>
      </c>
      <c r="B185" s="17" t="s">
        <v>341</v>
      </c>
      <c r="C185" s="17" t="s">
        <v>61</v>
      </c>
      <c r="D185" s="36" t="s">
        <v>1303</v>
      </c>
      <c r="E185" s="21" t="s">
        <v>82</v>
      </c>
      <c r="F185" s="21" t="s">
        <v>1064</v>
      </c>
      <c r="G185" s="21" t="s">
        <v>848</v>
      </c>
      <c r="H185" s="21" t="s">
        <v>873</v>
      </c>
      <c r="I185" s="21" t="s">
        <v>140</v>
      </c>
      <c r="J185" s="17" t="str">
        <f t="shared" si="1"/>
        <v>C · Uy tín &amp; giữ chân</v>
      </c>
      <c r="K185" s="21"/>
      <c r="L185" s="21">
        <f t="shared" si="2"/>
        <v>8</v>
      </c>
      <c r="M185" s="23" t="s">
        <v>1304</v>
      </c>
      <c r="N185" s="17" t="s">
        <v>1305</v>
      </c>
      <c r="O185" s="17" t="s">
        <v>199</v>
      </c>
      <c r="P185" s="17" t="s">
        <v>151</v>
      </c>
    </row>
    <row r="186" ht="46.5" hidden="1" customHeight="1">
      <c r="A186" s="32" t="s">
        <v>1306</v>
      </c>
      <c r="B186" s="28" t="s">
        <v>341</v>
      </c>
      <c r="C186" s="28" t="s">
        <v>61</v>
      </c>
      <c r="D186" s="56" t="s">
        <v>1307</v>
      </c>
      <c r="E186" s="30" t="s">
        <v>262</v>
      </c>
      <c r="F186" s="30" t="s">
        <v>83</v>
      </c>
      <c r="G186" s="30" t="s">
        <v>85</v>
      </c>
      <c r="H186" s="30" t="s">
        <v>88</v>
      </c>
      <c r="I186" s="30" t="s">
        <v>140</v>
      </c>
      <c r="J186" s="28" t="str">
        <f t="shared" si="1"/>
        <v>C · Uy tín &amp; giữ chân</v>
      </c>
      <c r="K186" s="30"/>
      <c r="L186" s="30">
        <f t="shared" si="2"/>
        <v>54</v>
      </c>
      <c r="M186" s="42" t="s">
        <v>1308</v>
      </c>
      <c r="N186" s="28" t="s">
        <v>1309</v>
      </c>
      <c r="O186" s="28" t="s">
        <v>199</v>
      </c>
      <c r="P186" s="28" t="s">
        <v>151</v>
      </c>
    </row>
    <row r="187" ht="46.5" hidden="1" customHeight="1">
      <c r="A187" s="18" t="s">
        <v>1310</v>
      </c>
      <c r="B187" s="17" t="s">
        <v>341</v>
      </c>
      <c r="C187" s="17" t="s">
        <v>61</v>
      </c>
      <c r="D187" s="36" t="s">
        <v>1311</v>
      </c>
      <c r="E187" s="21" t="s">
        <v>1025</v>
      </c>
      <c r="F187" s="21" t="s">
        <v>714</v>
      </c>
      <c r="G187" s="21" t="s">
        <v>85</v>
      </c>
      <c r="H187" s="21" t="s">
        <v>88</v>
      </c>
      <c r="I187" s="21" t="s">
        <v>140</v>
      </c>
      <c r="J187" s="17" t="str">
        <f t="shared" si="1"/>
        <v>C · Uy tín &amp; giữ chân</v>
      </c>
      <c r="K187" s="21"/>
      <c r="L187" s="21">
        <f t="shared" si="2"/>
        <v>36</v>
      </c>
      <c r="M187" s="23" t="s">
        <v>1312</v>
      </c>
      <c r="N187" s="17" t="s">
        <v>1313</v>
      </c>
      <c r="O187" s="17" t="s">
        <v>199</v>
      </c>
      <c r="P187" s="17" t="s">
        <v>151</v>
      </c>
    </row>
    <row r="188" ht="46.5" hidden="1" customHeight="1">
      <c r="A188" s="32" t="s">
        <v>1314</v>
      </c>
      <c r="B188" s="28" t="s">
        <v>341</v>
      </c>
      <c r="C188" s="28" t="s">
        <v>61</v>
      </c>
      <c r="D188" s="56" t="s">
        <v>1315</v>
      </c>
      <c r="E188" s="30" t="s">
        <v>303</v>
      </c>
      <c r="F188" s="30" t="s">
        <v>83</v>
      </c>
      <c r="G188" s="30" t="s">
        <v>85</v>
      </c>
      <c r="H188" s="30" t="s">
        <v>88</v>
      </c>
      <c r="I188" s="30" t="s">
        <v>140</v>
      </c>
      <c r="J188" s="28" t="str">
        <f t="shared" si="1"/>
        <v>C · Uy tín &amp; giữ chân</v>
      </c>
      <c r="K188" s="30"/>
      <c r="L188" s="30">
        <f t="shared" si="2"/>
        <v>54</v>
      </c>
      <c r="M188" s="42" t="s">
        <v>1316</v>
      </c>
      <c r="N188" s="28" t="s">
        <v>1317</v>
      </c>
      <c r="O188" s="28" t="s">
        <v>355</v>
      </c>
      <c r="P188" s="28" t="s">
        <v>357</v>
      </c>
    </row>
    <row r="189" ht="46.5" hidden="1" customHeight="1">
      <c r="A189" s="18" t="s">
        <v>1318</v>
      </c>
      <c r="B189" s="17" t="s">
        <v>341</v>
      </c>
      <c r="C189" s="17" t="s">
        <v>61</v>
      </c>
      <c r="D189" s="36" t="s">
        <v>1319</v>
      </c>
      <c r="E189" s="21" t="s">
        <v>713</v>
      </c>
      <c r="F189" s="21" t="s">
        <v>714</v>
      </c>
      <c r="G189" s="21" t="s">
        <v>1059</v>
      </c>
      <c r="H189" s="21" t="s">
        <v>873</v>
      </c>
      <c r="I189" s="21" t="s">
        <v>140</v>
      </c>
      <c r="J189" s="17" t="str">
        <f t="shared" si="1"/>
        <v>C · Uy tín &amp; giữ chân</v>
      </c>
      <c r="K189" s="21"/>
      <c r="L189" s="21">
        <f t="shared" si="2"/>
        <v>8</v>
      </c>
      <c r="M189" s="23" t="s">
        <v>1320</v>
      </c>
      <c r="N189" s="17" t="s">
        <v>1321</v>
      </c>
      <c r="O189" s="17" t="s">
        <v>880</v>
      </c>
      <c r="P189" s="17" t="s">
        <v>151</v>
      </c>
    </row>
    <row r="190" ht="46.5" hidden="1" customHeight="1">
      <c r="A190" s="32" t="s">
        <v>1322</v>
      </c>
      <c r="B190" s="28" t="s">
        <v>341</v>
      </c>
      <c r="C190" s="28" t="s">
        <v>61</v>
      </c>
      <c r="D190" s="56" t="s">
        <v>1323</v>
      </c>
      <c r="E190" s="30" t="s">
        <v>726</v>
      </c>
      <c r="F190" s="30" t="s">
        <v>714</v>
      </c>
      <c r="G190" s="30" t="s">
        <v>1059</v>
      </c>
      <c r="H190" s="30" t="s">
        <v>1129</v>
      </c>
      <c r="I190" s="30" t="s">
        <v>140</v>
      </c>
      <c r="J190" s="28" t="str">
        <f t="shared" si="1"/>
        <v>C · Uy tín &amp; giữ chân</v>
      </c>
      <c r="K190" s="30"/>
      <c r="L190" s="30">
        <f t="shared" si="2"/>
        <v>4</v>
      </c>
      <c r="M190" s="42" t="s">
        <v>1324</v>
      </c>
      <c r="N190" s="28" t="s">
        <v>1325</v>
      </c>
      <c r="O190" s="28" t="s">
        <v>199</v>
      </c>
      <c r="P190" s="28" t="s">
        <v>324</v>
      </c>
    </row>
    <row r="191" ht="46.5" hidden="1" customHeight="1">
      <c r="A191" s="18" t="s">
        <v>1326</v>
      </c>
      <c r="B191" s="17" t="s">
        <v>341</v>
      </c>
      <c r="C191" s="17" t="s">
        <v>61</v>
      </c>
      <c r="D191" s="36" t="s">
        <v>1327</v>
      </c>
      <c r="E191" s="21" t="s">
        <v>126</v>
      </c>
      <c r="F191" s="21" t="s">
        <v>714</v>
      </c>
      <c r="G191" s="21" t="s">
        <v>848</v>
      </c>
      <c r="H191" s="21" t="s">
        <v>88</v>
      </c>
      <c r="I191" s="21" t="s">
        <v>140</v>
      </c>
      <c r="J191" s="17" t="str">
        <f t="shared" si="1"/>
        <v>C · Uy tín &amp; giữ chân</v>
      </c>
      <c r="K191" s="21"/>
      <c r="L191" s="21">
        <f t="shared" si="2"/>
        <v>24</v>
      </c>
      <c r="M191" s="23" t="s">
        <v>1328</v>
      </c>
      <c r="N191" s="17" t="s">
        <v>1329</v>
      </c>
      <c r="O191" s="17" t="s">
        <v>199</v>
      </c>
      <c r="P191" s="17" t="s">
        <v>151</v>
      </c>
    </row>
    <row r="192" ht="46.5" hidden="1" customHeight="1">
      <c r="A192" s="32" t="s">
        <v>1330</v>
      </c>
      <c r="B192" s="28" t="s">
        <v>341</v>
      </c>
      <c r="C192" s="28" t="s">
        <v>61</v>
      </c>
      <c r="D192" s="56" t="s">
        <v>1331</v>
      </c>
      <c r="E192" s="30" t="s">
        <v>713</v>
      </c>
      <c r="F192" s="30" t="s">
        <v>714</v>
      </c>
      <c r="G192" s="30" t="s">
        <v>1059</v>
      </c>
      <c r="H192" s="30" t="s">
        <v>873</v>
      </c>
      <c r="I192" s="30" t="s">
        <v>140</v>
      </c>
      <c r="J192" s="28" t="str">
        <f t="shared" si="1"/>
        <v>C · Uy tín &amp; giữ chân</v>
      </c>
      <c r="K192" s="30"/>
      <c r="L192" s="30">
        <f t="shared" si="2"/>
        <v>8</v>
      </c>
      <c r="M192" s="42" t="s">
        <v>1332</v>
      </c>
      <c r="N192" s="28" t="s">
        <v>1333</v>
      </c>
      <c r="O192" s="28" t="s">
        <v>199</v>
      </c>
      <c r="P192" s="28" t="s">
        <v>324</v>
      </c>
    </row>
    <row r="193" ht="46.5" hidden="1" customHeight="1">
      <c r="A193" s="18" t="s">
        <v>1334</v>
      </c>
      <c r="B193" s="17" t="s">
        <v>341</v>
      </c>
      <c r="C193" s="17" t="s">
        <v>61</v>
      </c>
      <c r="D193" s="36" t="s">
        <v>1335</v>
      </c>
      <c r="E193" s="21" t="s">
        <v>82</v>
      </c>
      <c r="F193" s="21" t="s">
        <v>714</v>
      </c>
      <c r="G193" s="21" t="s">
        <v>848</v>
      </c>
      <c r="H193" s="21" t="s">
        <v>88</v>
      </c>
      <c r="I193" s="21" t="s">
        <v>140</v>
      </c>
      <c r="J193" s="17" t="str">
        <f t="shared" si="1"/>
        <v>C · Uy tín &amp; giữ chân</v>
      </c>
      <c r="K193" s="21"/>
      <c r="L193" s="21">
        <f t="shared" si="2"/>
        <v>24</v>
      </c>
      <c r="M193" s="23" t="s">
        <v>1336</v>
      </c>
      <c r="N193" s="17" t="s">
        <v>1337</v>
      </c>
      <c r="O193" s="17" t="s">
        <v>199</v>
      </c>
      <c r="P193" s="17" t="s">
        <v>151</v>
      </c>
    </row>
    <row r="194" ht="46.5" hidden="1" customHeight="1">
      <c r="A194" s="32" t="s">
        <v>1338</v>
      </c>
      <c r="B194" s="28" t="s">
        <v>341</v>
      </c>
      <c r="C194" s="28" t="s">
        <v>61</v>
      </c>
      <c r="D194" s="56" t="s">
        <v>1339</v>
      </c>
      <c r="E194" s="30" t="s">
        <v>82</v>
      </c>
      <c r="F194" s="30" t="s">
        <v>714</v>
      </c>
      <c r="G194" s="30" t="s">
        <v>1059</v>
      </c>
      <c r="H194" s="30" t="s">
        <v>88</v>
      </c>
      <c r="I194" s="30" t="s">
        <v>140</v>
      </c>
      <c r="J194" s="28" t="str">
        <f t="shared" si="1"/>
        <v>C · Uy tín &amp; giữ chân</v>
      </c>
      <c r="K194" s="30"/>
      <c r="L194" s="30">
        <f t="shared" si="2"/>
        <v>12</v>
      </c>
      <c r="M194" s="42" t="s">
        <v>1340</v>
      </c>
      <c r="N194" s="28" t="s">
        <v>1341</v>
      </c>
      <c r="O194" s="28" t="s">
        <v>199</v>
      </c>
      <c r="P194" s="28" t="s">
        <v>151</v>
      </c>
    </row>
    <row r="195" ht="46.5" hidden="1" customHeight="1">
      <c r="A195" s="18" t="s">
        <v>1342</v>
      </c>
      <c r="B195" s="17" t="s">
        <v>341</v>
      </c>
      <c r="C195" s="17" t="s">
        <v>61</v>
      </c>
      <c r="D195" s="36" t="s">
        <v>1343</v>
      </c>
      <c r="E195" s="21" t="s">
        <v>742</v>
      </c>
      <c r="F195" s="21" t="s">
        <v>83</v>
      </c>
      <c r="G195" s="21" t="s">
        <v>848</v>
      </c>
      <c r="H195" s="21" t="s">
        <v>88</v>
      </c>
      <c r="I195" s="21" t="s">
        <v>140</v>
      </c>
      <c r="J195" s="17" t="str">
        <f t="shared" si="1"/>
        <v>C · Uy tín &amp; giữ chân</v>
      </c>
      <c r="K195" s="21"/>
      <c r="L195" s="21">
        <f t="shared" si="2"/>
        <v>36</v>
      </c>
      <c r="M195" s="23" t="s">
        <v>1344</v>
      </c>
      <c r="N195" s="17" t="s">
        <v>1345</v>
      </c>
      <c r="O195" s="17" t="s">
        <v>109</v>
      </c>
      <c r="P195" s="17" t="s">
        <v>151</v>
      </c>
    </row>
    <row r="196" ht="46.5" hidden="1" customHeight="1">
      <c r="A196" s="32" t="s">
        <v>1346</v>
      </c>
      <c r="B196" s="28" t="s">
        <v>398</v>
      </c>
      <c r="C196" s="28" t="s">
        <v>114</v>
      </c>
      <c r="D196" s="56" t="s">
        <v>1347</v>
      </c>
      <c r="E196" s="30" t="s">
        <v>940</v>
      </c>
      <c r="F196" s="30" t="s">
        <v>714</v>
      </c>
      <c r="G196" s="30" t="s">
        <v>85</v>
      </c>
      <c r="H196" s="30" t="s">
        <v>873</v>
      </c>
      <c r="I196" s="30" t="s">
        <v>140</v>
      </c>
      <c r="J196" s="28" t="str">
        <f t="shared" si="1"/>
        <v>C · Uy tín &amp; giữ chân</v>
      </c>
      <c r="K196" s="30"/>
      <c r="L196" s="30">
        <f t="shared" si="2"/>
        <v>12</v>
      </c>
      <c r="M196" s="42" t="s">
        <v>1348</v>
      </c>
      <c r="N196" s="28" t="s">
        <v>1349</v>
      </c>
      <c r="O196" s="28" t="s">
        <v>199</v>
      </c>
      <c r="P196" s="28" t="s">
        <v>324</v>
      </c>
    </row>
    <row r="197" ht="46.5" hidden="1" customHeight="1">
      <c r="A197" s="18" t="s">
        <v>1350</v>
      </c>
      <c r="B197" s="17" t="s">
        <v>398</v>
      </c>
      <c r="C197" s="17" t="s">
        <v>114</v>
      </c>
      <c r="D197" s="36" t="s">
        <v>1351</v>
      </c>
      <c r="E197" s="21" t="s">
        <v>264</v>
      </c>
      <c r="F197" s="21" t="s">
        <v>714</v>
      </c>
      <c r="G197" s="21" t="s">
        <v>85</v>
      </c>
      <c r="H197" s="21" t="s">
        <v>873</v>
      </c>
      <c r="I197" s="21" t="s">
        <v>140</v>
      </c>
      <c r="J197" s="17" t="str">
        <f t="shared" si="1"/>
        <v>C · Uy tín &amp; giữ chân</v>
      </c>
      <c r="K197" s="21"/>
      <c r="L197" s="21">
        <f t="shared" si="2"/>
        <v>12</v>
      </c>
      <c r="M197" s="23" t="s">
        <v>1352</v>
      </c>
      <c r="N197" s="17" t="s">
        <v>1353</v>
      </c>
      <c r="O197" s="17" t="s">
        <v>199</v>
      </c>
      <c r="P197" s="17" t="s">
        <v>324</v>
      </c>
    </row>
    <row r="198" ht="46.5" hidden="1" customHeight="1">
      <c r="A198" s="32" t="s">
        <v>1354</v>
      </c>
      <c r="B198" s="28" t="s">
        <v>398</v>
      </c>
      <c r="C198" s="28" t="s">
        <v>114</v>
      </c>
      <c r="D198" s="56" t="s">
        <v>1355</v>
      </c>
      <c r="E198" s="30" t="s">
        <v>940</v>
      </c>
      <c r="F198" s="30" t="s">
        <v>714</v>
      </c>
      <c r="G198" s="30" t="s">
        <v>85</v>
      </c>
      <c r="H198" s="30" t="s">
        <v>873</v>
      </c>
      <c r="I198" s="30" t="s">
        <v>140</v>
      </c>
      <c r="J198" s="28" t="str">
        <f t="shared" si="1"/>
        <v>C · Uy tín &amp; giữ chân</v>
      </c>
      <c r="K198" s="30"/>
      <c r="L198" s="30">
        <f t="shared" si="2"/>
        <v>12</v>
      </c>
      <c r="M198" s="42" t="s">
        <v>1178</v>
      </c>
      <c r="N198" s="28" t="s">
        <v>1356</v>
      </c>
      <c r="O198" s="28" t="s">
        <v>199</v>
      </c>
      <c r="P198" s="28" t="s">
        <v>324</v>
      </c>
    </row>
    <row r="199" ht="46.5" hidden="1" customHeight="1">
      <c r="A199" s="18" t="s">
        <v>1357</v>
      </c>
      <c r="B199" s="17" t="s">
        <v>398</v>
      </c>
      <c r="C199" s="17" t="s">
        <v>114</v>
      </c>
      <c r="D199" s="36" t="s">
        <v>1358</v>
      </c>
      <c r="E199" s="21" t="s">
        <v>940</v>
      </c>
      <c r="F199" s="21" t="s">
        <v>714</v>
      </c>
      <c r="G199" s="21" t="s">
        <v>85</v>
      </c>
      <c r="H199" s="21" t="s">
        <v>873</v>
      </c>
      <c r="I199" s="21" t="s">
        <v>140</v>
      </c>
      <c r="J199" s="17" t="str">
        <f t="shared" si="1"/>
        <v>C · Uy tín &amp; giữ chân</v>
      </c>
      <c r="K199" s="21"/>
      <c r="L199" s="21">
        <f t="shared" si="2"/>
        <v>12</v>
      </c>
      <c r="M199" s="23" t="s">
        <v>1359</v>
      </c>
      <c r="N199" s="17" t="s">
        <v>1360</v>
      </c>
      <c r="O199" s="17" t="s">
        <v>199</v>
      </c>
      <c r="P199" s="17" t="s">
        <v>324</v>
      </c>
    </row>
    <row r="200" ht="46.5" hidden="1" customHeight="1">
      <c r="A200" s="32" t="s">
        <v>1361</v>
      </c>
      <c r="B200" s="28" t="s">
        <v>398</v>
      </c>
      <c r="C200" s="28" t="s">
        <v>114</v>
      </c>
      <c r="D200" s="56" t="s">
        <v>1362</v>
      </c>
      <c r="E200" s="30" t="s">
        <v>940</v>
      </c>
      <c r="F200" s="30" t="s">
        <v>714</v>
      </c>
      <c r="G200" s="30" t="s">
        <v>848</v>
      </c>
      <c r="H200" s="30" t="s">
        <v>873</v>
      </c>
      <c r="I200" s="30" t="s">
        <v>140</v>
      </c>
      <c r="J200" s="28" t="str">
        <f t="shared" si="1"/>
        <v>C · Uy tín &amp; giữ chân</v>
      </c>
      <c r="K200" s="30"/>
      <c r="L200" s="30">
        <f t="shared" si="2"/>
        <v>8</v>
      </c>
      <c r="M200" s="42" t="s">
        <v>1363</v>
      </c>
      <c r="N200" s="28" t="s">
        <v>1364</v>
      </c>
      <c r="O200" s="28" t="s">
        <v>199</v>
      </c>
      <c r="P200" s="28" t="s">
        <v>324</v>
      </c>
    </row>
    <row r="201" ht="46.5" hidden="1" customHeight="1">
      <c r="A201" s="18" t="s">
        <v>1365</v>
      </c>
      <c r="B201" s="17" t="s">
        <v>398</v>
      </c>
      <c r="C201" s="17" t="s">
        <v>114</v>
      </c>
      <c r="D201" s="36" t="s">
        <v>1366</v>
      </c>
      <c r="E201" s="21" t="s">
        <v>940</v>
      </c>
      <c r="F201" s="21" t="s">
        <v>714</v>
      </c>
      <c r="G201" s="21" t="s">
        <v>85</v>
      </c>
      <c r="H201" s="21" t="s">
        <v>873</v>
      </c>
      <c r="I201" s="21" t="s">
        <v>140</v>
      </c>
      <c r="J201" s="17" t="str">
        <f t="shared" si="1"/>
        <v>C · Uy tín &amp; giữ chân</v>
      </c>
      <c r="K201" s="21"/>
      <c r="L201" s="21">
        <f t="shared" si="2"/>
        <v>12</v>
      </c>
      <c r="M201" s="23" t="s">
        <v>1367</v>
      </c>
      <c r="N201" s="17" t="s">
        <v>1368</v>
      </c>
      <c r="O201" s="17" t="s">
        <v>199</v>
      </c>
      <c r="P201" s="17" t="s">
        <v>324</v>
      </c>
    </row>
    <row r="202" ht="46.5" hidden="1" customHeight="1">
      <c r="A202" s="32" t="s">
        <v>1369</v>
      </c>
      <c r="B202" s="28" t="s">
        <v>398</v>
      </c>
      <c r="C202" s="28" t="s">
        <v>114</v>
      </c>
      <c r="D202" s="56" t="s">
        <v>1370</v>
      </c>
      <c r="E202" s="30" t="s">
        <v>940</v>
      </c>
      <c r="F202" s="30" t="s">
        <v>714</v>
      </c>
      <c r="G202" s="30" t="s">
        <v>848</v>
      </c>
      <c r="H202" s="30" t="s">
        <v>873</v>
      </c>
      <c r="I202" s="30" t="s">
        <v>140</v>
      </c>
      <c r="J202" s="28" t="str">
        <f t="shared" si="1"/>
        <v>C · Uy tín &amp; giữ chân</v>
      </c>
      <c r="K202" s="30"/>
      <c r="L202" s="30">
        <f t="shared" si="2"/>
        <v>8</v>
      </c>
      <c r="M202" s="42" t="s">
        <v>1371</v>
      </c>
      <c r="N202" s="28" t="s">
        <v>1372</v>
      </c>
      <c r="O202" s="28" t="s">
        <v>199</v>
      </c>
      <c r="P202" s="28" t="s">
        <v>324</v>
      </c>
    </row>
    <row r="203" ht="46.5" hidden="1" customHeight="1">
      <c r="A203" s="18" t="s">
        <v>1373</v>
      </c>
      <c r="B203" s="17" t="s">
        <v>398</v>
      </c>
      <c r="C203" s="17" t="s">
        <v>114</v>
      </c>
      <c r="D203" s="36" t="s">
        <v>1374</v>
      </c>
      <c r="E203" s="21" t="s">
        <v>940</v>
      </c>
      <c r="F203" s="21" t="s">
        <v>714</v>
      </c>
      <c r="G203" s="21" t="s">
        <v>85</v>
      </c>
      <c r="H203" s="21" t="s">
        <v>873</v>
      </c>
      <c r="I203" s="21" t="s">
        <v>140</v>
      </c>
      <c r="J203" s="17" t="str">
        <f t="shared" si="1"/>
        <v>C · Uy tín &amp; giữ chân</v>
      </c>
      <c r="K203" s="21"/>
      <c r="L203" s="21">
        <f t="shared" si="2"/>
        <v>12</v>
      </c>
      <c r="M203" s="23" t="s">
        <v>1375</v>
      </c>
      <c r="N203" s="17" t="s">
        <v>1376</v>
      </c>
      <c r="O203" s="17" t="s">
        <v>199</v>
      </c>
      <c r="P203" s="17" t="s">
        <v>324</v>
      </c>
    </row>
    <row r="204" ht="46.5" hidden="1" customHeight="1">
      <c r="A204" s="32" t="s">
        <v>1377</v>
      </c>
      <c r="B204" s="28" t="s">
        <v>398</v>
      </c>
      <c r="C204" s="28" t="s">
        <v>114</v>
      </c>
      <c r="D204" s="56" t="s">
        <v>1378</v>
      </c>
      <c r="E204" s="30" t="s">
        <v>726</v>
      </c>
      <c r="F204" s="30" t="s">
        <v>714</v>
      </c>
      <c r="G204" s="30" t="s">
        <v>85</v>
      </c>
      <c r="H204" s="30" t="s">
        <v>873</v>
      </c>
      <c r="I204" s="30" t="s">
        <v>140</v>
      </c>
      <c r="J204" s="28" t="str">
        <f t="shared" si="1"/>
        <v>C · Uy tín &amp; giữ chân</v>
      </c>
      <c r="K204" s="30"/>
      <c r="L204" s="30">
        <f t="shared" si="2"/>
        <v>12</v>
      </c>
      <c r="M204" s="42" t="s">
        <v>1379</v>
      </c>
      <c r="N204" s="28" t="s">
        <v>1380</v>
      </c>
      <c r="O204" s="28" t="s">
        <v>199</v>
      </c>
      <c r="P204" s="28" t="s">
        <v>324</v>
      </c>
    </row>
    <row r="205" ht="46.5" hidden="1" customHeight="1">
      <c r="A205" s="18" t="s">
        <v>1381</v>
      </c>
      <c r="B205" s="17" t="s">
        <v>398</v>
      </c>
      <c r="C205" s="17" t="s">
        <v>114</v>
      </c>
      <c r="D205" s="36" t="s">
        <v>1382</v>
      </c>
      <c r="E205" s="21" t="s">
        <v>940</v>
      </c>
      <c r="F205" s="21" t="s">
        <v>714</v>
      </c>
      <c r="G205" s="21" t="s">
        <v>85</v>
      </c>
      <c r="H205" s="21" t="s">
        <v>88</v>
      </c>
      <c r="I205" s="21" t="s">
        <v>140</v>
      </c>
      <c r="J205" s="17" t="str">
        <f t="shared" si="1"/>
        <v>C · Uy tín &amp; giữ chân</v>
      </c>
      <c r="K205" s="21"/>
      <c r="L205" s="21">
        <f t="shared" si="2"/>
        <v>18</v>
      </c>
      <c r="M205" s="23" t="s">
        <v>1383</v>
      </c>
      <c r="N205" s="17" t="s">
        <v>1384</v>
      </c>
      <c r="O205" s="17" t="s">
        <v>199</v>
      </c>
      <c r="P205" s="17" t="s">
        <v>151</v>
      </c>
    </row>
    <row r="206" ht="46.5" hidden="1" customHeight="1">
      <c r="A206" s="32" t="s">
        <v>1385</v>
      </c>
      <c r="B206" s="28" t="s">
        <v>398</v>
      </c>
      <c r="C206" s="28" t="s">
        <v>114</v>
      </c>
      <c r="D206" s="56" t="s">
        <v>1386</v>
      </c>
      <c r="E206" s="30" t="s">
        <v>726</v>
      </c>
      <c r="F206" s="30" t="s">
        <v>714</v>
      </c>
      <c r="G206" s="30" t="s">
        <v>1059</v>
      </c>
      <c r="H206" s="30" t="s">
        <v>1129</v>
      </c>
      <c r="I206" s="30" t="s">
        <v>140</v>
      </c>
      <c r="J206" s="28" t="str">
        <f t="shared" si="1"/>
        <v>C · Uy tín &amp; giữ chân</v>
      </c>
      <c r="K206" s="30"/>
      <c r="L206" s="30">
        <f t="shared" si="2"/>
        <v>2</v>
      </c>
      <c r="M206" s="42" t="s">
        <v>1387</v>
      </c>
      <c r="N206" s="28" t="s">
        <v>1388</v>
      </c>
      <c r="O206" s="28" t="s">
        <v>199</v>
      </c>
      <c r="P206" s="28" t="s">
        <v>324</v>
      </c>
    </row>
    <row r="207" ht="46.5" hidden="1" customHeight="1">
      <c r="A207" s="18" t="s">
        <v>1389</v>
      </c>
      <c r="B207" s="17" t="s">
        <v>398</v>
      </c>
      <c r="C207" s="17" t="s">
        <v>114</v>
      </c>
      <c r="D207" s="36" t="s">
        <v>1390</v>
      </c>
      <c r="E207" s="21" t="s">
        <v>940</v>
      </c>
      <c r="F207" s="21" t="s">
        <v>714</v>
      </c>
      <c r="G207" s="21" t="s">
        <v>85</v>
      </c>
      <c r="H207" s="21" t="s">
        <v>873</v>
      </c>
      <c r="I207" s="21" t="s">
        <v>140</v>
      </c>
      <c r="J207" s="17" t="str">
        <f t="shared" si="1"/>
        <v>C · Uy tín &amp; giữ chân</v>
      </c>
      <c r="K207" s="21"/>
      <c r="L207" s="21">
        <f t="shared" si="2"/>
        <v>12</v>
      </c>
      <c r="M207" s="23" t="s">
        <v>1391</v>
      </c>
      <c r="N207" s="17" t="s">
        <v>1392</v>
      </c>
      <c r="O207" s="17" t="s">
        <v>199</v>
      </c>
      <c r="P207" s="17" t="s">
        <v>324</v>
      </c>
    </row>
    <row r="208" ht="46.5" hidden="1" customHeight="1">
      <c r="A208" s="32" t="s">
        <v>1393</v>
      </c>
      <c r="B208" s="28" t="s">
        <v>398</v>
      </c>
      <c r="C208" s="28" t="s">
        <v>114</v>
      </c>
      <c r="D208" s="56" t="s">
        <v>1394</v>
      </c>
      <c r="E208" s="30" t="s">
        <v>126</v>
      </c>
      <c r="F208" s="30" t="s">
        <v>714</v>
      </c>
      <c r="G208" s="30" t="s">
        <v>848</v>
      </c>
      <c r="H208" s="30" t="s">
        <v>873</v>
      </c>
      <c r="I208" s="30" t="s">
        <v>140</v>
      </c>
      <c r="J208" s="28" t="str">
        <f t="shared" si="1"/>
        <v>C · Uy tín &amp; giữ chân</v>
      </c>
      <c r="K208" s="30"/>
      <c r="L208" s="30">
        <f t="shared" si="2"/>
        <v>8</v>
      </c>
      <c r="M208" s="42" t="s">
        <v>1395</v>
      </c>
      <c r="N208" s="28" t="s">
        <v>1396</v>
      </c>
      <c r="O208" s="28" t="s">
        <v>199</v>
      </c>
      <c r="P208" s="28" t="s">
        <v>324</v>
      </c>
    </row>
    <row r="209" ht="46.5" hidden="1" customHeight="1">
      <c r="A209" s="18" t="s">
        <v>1397</v>
      </c>
      <c r="B209" s="17" t="s">
        <v>398</v>
      </c>
      <c r="C209" s="17" t="s">
        <v>114</v>
      </c>
      <c r="D209" s="36" t="s">
        <v>1398</v>
      </c>
      <c r="E209" s="21" t="s">
        <v>726</v>
      </c>
      <c r="F209" s="21" t="s">
        <v>714</v>
      </c>
      <c r="G209" s="21" t="s">
        <v>85</v>
      </c>
      <c r="H209" s="21" t="s">
        <v>873</v>
      </c>
      <c r="I209" s="21" t="s">
        <v>140</v>
      </c>
      <c r="J209" s="17" t="str">
        <f t="shared" si="1"/>
        <v>C · Uy tín &amp; giữ chân</v>
      </c>
      <c r="K209" s="21"/>
      <c r="L209" s="21">
        <f t="shared" si="2"/>
        <v>12</v>
      </c>
      <c r="M209" s="23" t="s">
        <v>1399</v>
      </c>
      <c r="N209" s="17" t="s">
        <v>1400</v>
      </c>
      <c r="O209" s="17" t="s">
        <v>199</v>
      </c>
      <c r="P209" s="17" t="s">
        <v>324</v>
      </c>
    </row>
    <row r="210" ht="46.5" hidden="1" customHeight="1">
      <c r="A210" s="32" t="s">
        <v>1401</v>
      </c>
      <c r="B210" s="28" t="s">
        <v>398</v>
      </c>
      <c r="C210" s="28" t="s">
        <v>114</v>
      </c>
      <c r="D210" s="56" t="s">
        <v>1402</v>
      </c>
      <c r="E210" s="30" t="s">
        <v>940</v>
      </c>
      <c r="F210" s="30" t="s">
        <v>714</v>
      </c>
      <c r="G210" s="30" t="s">
        <v>848</v>
      </c>
      <c r="H210" s="30" t="s">
        <v>1129</v>
      </c>
      <c r="I210" s="30" t="s">
        <v>140</v>
      </c>
      <c r="J210" s="28" t="str">
        <f t="shared" si="1"/>
        <v>C · Uy tín &amp; giữ chân</v>
      </c>
      <c r="K210" s="30"/>
      <c r="L210" s="30">
        <f t="shared" si="2"/>
        <v>4</v>
      </c>
      <c r="M210" s="42" t="s">
        <v>1403</v>
      </c>
      <c r="N210" s="28" t="s">
        <v>1404</v>
      </c>
      <c r="O210" s="28" t="s">
        <v>199</v>
      </c>
      <c r="P210" s="28" t="s">
        <v>324</v>
      </c>
    </row>
    <row r="211" ht="46.5" hidden="1" customHeight="1">
      <c r="A211" s="18" t="s">
        <v>1405</v>
      </c>
      <c r="B211" s="17" t="s">
        <v>398</v>
      </c>
      <c r="C211" s="17" t="s">
        <v>114</v>
      </c>
      <c r="D211" s="36" t="s">
        <v>1406</v>
      </c>
      <c r="E211" s="21" t="s">
        <v>940</v>
      </c>
      <c r="F211" s="21" t="s">
        <v>714</v>
      </c>
      <c r="G211" s="21" t="s">
        <v>848</v>
      </c>
      <c r="H211" s="21" t="s">
        <v>1129</v>
      </c>
      <c r="I211" s="21" t="s">
        <v>140</v>
      </c>
      <c r="J211" s="17" t="str">
        <f t="shared" si="1"/>
        <v>C · Uy tín &amp; giữ chân</v>
      </c>
      <c r="K211" s="21"/>
      <c r="L211" s="21">
        <f t="shared" si="2"/>
        <v>4</v>
      </c>
      <c r="M211" s="23" t="s">
        <v>1407</v>
      </c>
      <c r="N211" s="17" t="s">
        <v>1408</v>
      </c>
      <c r="O211" s="17" t="s">
        <v>199</v>
      </c>
      <c r="P211" s="17" t="s">
        <v>324</v>
      </c>
    </row>
    <row r="212" ht="46.5" hidden="1" customHeight="1">
      <c r="A212" s="32" t="s">
        <v>1409</v>
      </c>
      <c r="B212" s="28" t="s">
        <v>398</v>
      </c>
      <c r="C212" s="28" t="s">
        <v>114</v>
      </c>
      <c r="D212" s="56" t="s">
        <v>1410</v>
      </c>
      <c r="E212" s="30" t="s">
        <v>940</v>
      </c>
      <c r="F212" s="30" t="s">
        <v>714</v>
      </c>
      <c r="G212" s="30" t="s">
        <v>85</v>
      </c>
      <c r="H212" s="30" t="s">
        <v>88</v>
      </c>
      <c r="I212" s="30" t="s">
        <v>140</v>
      </c>
      <c r="J212" s="28" t="str">
        <f t="shared" si="1"/>
        <v>C · Uy tín &amp; giữ chân</v>
      </c>
      <c r="K212" s="30"/>
      <c r="L212" s="30">
        <f t="shared" si="2"/>
        <v>18</v>
      </c>
      <c r="M212" s="42" t="s">
        <v>1411</v>
      </c>
      <c r="N212" s="28" t="s">
        <v>1412</v>
      </c>
      <c r="O212" s="28" t="s">
        <v>199</v>
      </c>
      <c r="P212" s="28" t="s">
        <v>151</v>
      </c>
    </row>
    <row r="213" ht="46.5" hidden="1" customHeight="1">
      <c r="A213" s="18" t="s">
        <v>1413</v>
      </c>
      <c r="B213" s="17" t="s">
        <v>398</v>
      </c>
      <c r="C213" s="17" t="s">
        <v>114</v>
      </c>
      <c r="D213" s="36" t="s">
        <v>1414</v>
      </c>
      <c r="E213" s="21" t="s">
        <v>742</v>
      </c>
      <c r="F213" s="21" t="s">
        <v>83</v>
      </c>
      <c r="G213" s="21" t="s">
        <v>85</v>
      </c>
      <c r="H213" s="21" t="s">
        <v>88</v>
      </c>
      <c r="I213" s="21" t="s">
        <v>140</v>
      </c>
      <c r="J213" s="17" t="str">
        <f t="shared" si="1"/>
        <v>C · Uy tín &amp; giữ chân</v>
      </c>
      <c r="K213" s="21"/>
      <c r="L213" s="21">
        <f t="shared" si="2"/>
        <v>27</v>
      </c>
      <c r="M213" s="23" t="s">
        <v>1415</v>
      </c>
      <c r="N213" s="17" t="s">
        <v>1416</v>
      </c>
      <c r="O213" s="17" t="s">
        <v>109</v>
      </c>
      <c r="P213" s="17" t="s">
        <v>151</v>
      </c>
    </row>
    <row r="214" ht="46.5" hidden="1" customHeight="1">
      <c r="A214" s="32" t="s">
        <v>1417</v>
      </c>
      <c r="B214" s="28" t="s">
        <v>398</v>
      </c>
      <c r="C214" s="28" t="s">
        <v>114</v>
      </c>
      <c r="D214" s="56" t="s">
        <v>1418</v>
      </c>
      <c r="E214" s="30" t="s">
        <v>157</v>
      </c>
      <c r="F214" s="30" t="s">
        <v>714</v>
      </c>
      <c r="G214" s="30" t="s">
        <v>85</v>
      </c>
      <c r="H214" s="30" t="s">
        <v>88</v>
      </c>
      <c r="I214" s="30" t="s">
        <v>140</v>
      </c>
      <c r="J214" s="28" t="str">
        <f t="shared" si="1"/>
        <v>C · Uy tín &amp; giữ chân</v>
      </c>
      <c r="K214" s="30"/>
      <c r="L214" s="30">
        <f t="shared" si="2"/>
        <v>18</v>
      </c>
      <c r="M214" s="42" t="s">
        <v>969</v>
      </c>
      <c r="N214" s="28" t="s">
        <v>1419</v>
      </c>
      <c r="O214" s="28" t="s">
        <v>199</v>
      </c>
      <c r="P214" s="28" t="s">
        <v>324</v>
      </c>
    </row>
    <row r="215" ht="46.5" hidden="1" customHeight="1">
      <c r="A215" s="18" t="s">
        <v>1420</v>
      </c>
      <c r="B215" s="17" t="s">
        <v>398</v>
      </c>
      <c r="C215" s="17" t="s">
        <v>114</v>
      </c>
      <c r="D215" s="36" t="s">
        <v>1421</v>
      </c>
      <c r="E215" s="21" t="s">
        <v>940</v>
      </c>
      <c r="F215" s="21" t="s">
        <v>714</v>
      </c>
      <c r="G215" s="21" t="s">
        <v>848</v>
      </c>
      <c r="H215" s="21" t="s">
        <v>873</v>
      </c>
      <c r="I215" s="21" t="s">
        <v>140</v>
      </c>
      <c r="J215" s="17" t="str">
        <f t="shared" si="1"/>
        <v>C · Uy tín &amp; giữ chân</v>
      </c>
      <c r="K215" s="21"/>
      <c r="L215" s="21">
        <f t="shared" si="2"/>
        <v>8</v>
      </c>
      <c r="M215" s="23" t="s">
        <v>1422</v>
      </c>
      <c r="N215" s="17" t="s">
        <v>1423</v>
      </c>
      <c r="O215" s="17" t="s">
        <v>199</v>
      </c>
      <c r="P215" s="17" t="s">
        <v>324</v>
      </c>
    </row>
    <row r="216" ht="46.5" hidden="1" customHeight="1">
      <c r="A216" s="32" t="s">
        <v>1424</v>
      </c>
      <c r="B216" s="28" t="s">
        <v>414</v>
      </c>
      <c r="C216" s="28" t="s">
        <v>127</v>
      </c>
      <c r="D216" s="56" t="s">
        <v>1425</v>
      </c>
      <c r="E216" s="30" t="s">
        <v>126</v>
      </c>
      <c r="F216" s="30" t="s">
        <v>83</v>
      </c>
      <c r="G216" s="30" t="s">
        <v>85</v>
      </c>
      <c r="H216" s="30" t="s">
        <v>88</v>
      </c>
      <c r="I216" s="30" t="s">
        <v>140</v>
      </c>
      <c r="J216" s="28" t="str">
        <f t="shared" si="1"/>
        <v>C · Uy tín &amp; giữ chân</v>
      </c>
      <c r="K216" s="30"/>
      <c r="L216" s="30">
        <f t="shared" si="2"/>
        <v>27</v>
      </c>
      <c r="M216" s="42" t="s">
        <v>1426</v>
      </c>
      <c r="N216" s="28" t="s">
        <v>1427</v>
      </c>
      <c r="O216" s="28" t="s">
        <v>255</v>
      </c>
      <c r="P216" s="28" t="s">
        <v>151</v>
      </c>
    </row>
    <row r="217" ht="46.5" hidden="1" customHeight="1">
      <c r="A217" s="18" t="s">
        <v>1428</v>
      </c>
      <c r="B217" s="17" t="s">
        <v>414</v>
      </c>
      <c r="C217" s="17" t="s">
        <v>127</v>
      </c>
      <c r="D217" s="36" t="s">
        <v>1429</v>
      </c>
      <c r="E217" s="21" t="s">
        <v>215</v>
      </c>
      <c r="F217" s="21" t="s">
        <v>714</v>
      </c>
      <c r="G217" s="21" t="s">
        <v>85</v>
      </c>
      <c r="H217" s="21" t="s">
        <v>88</v>
      </c>
      <c r="I217" s="21" t="s">
        <v>140</v>
      </c>
      <c r="J217" s="17" t="str">
        <f t="shared" si="1"/>
        <v>C · Uy tín &amp; giữ chân</v>
      </c>
      <c r="K217" s="21"/>
      <c r="L217" s="21">
        <f t="shared" si="2"/>
        <v>18</v>
      </c>
      <c r="M217" s="23" t="s">
        <v>1430</v>
      </c>
      <c r="N217" s="17" t="s">
        <v>1431</v>
      </c>
      <c r="O217" s="17" t="s">
        <v>1432</v>
      </c>
      <c r="P217" s="17" t="s">
        <v>324</v>
      </c>
    </row>
    <row r="218" ht="46.5" hidden="1" customHeight="1">
      <c r="A218" s="32" t="s">
        <v>1433</v>
      </c>
      <c r="B218" s="28" t="s">
        <v>414</v>
      </c>
      <c r="C218" s="28" t="s">
        <v>127</v>
      </c>
      <c r="D218" s="56" t="s">
        <v>1434</v>
      </c>
      <c r="E218" s="30" t="s">
        <v>589</v>
      </c>
      <c r="F218" s="30" t="s">
        <v>83</v>
      </c>
      <c r="G218" s="30" t="s">
        <v>85</v>
      </c>
      <c r="H218" s="30" t="s">
        <v>88</v>
      </c>
      <c r="I218" s="30" t="s">
        <v>140</v>
      </c>
      <c r="J218" s="28" t="str">
        <f t="shared" si="1"/>
        <v>C · Uy tín &amp; giữ chân</v>
      </c>
      <c r="K218" s="30"/>
      <c r="L218" s="30">
        <f t="shared" si="2"/>
        <v>27</v>
      </c>
      <c r="M218" s="42" t="s">
        <v>1435</v>
      </c>
      <c r="N218" s="28" t="s">
        <v>1436</v>
      </c>
      <c r="O218" s="28" t="s">
        <v>199</v>
      </c>
      <c r="P218" s="28" t="s">
        <v>324</v>
      </c>
    </row>
    <row r="219" ht="46.5" hidden="1" customHeight="1">
      <c r="A219" s="18" t="s">
        <v>1437</v>
      </c>
      <c r="B219" s="17" t="s">
        <v>414</v>
      </c>
      <c r="C219" s="17" t="s">
        <v>127</v>
      </c>
      <c r="D219" s="36" t="s">
        <v>1438</v>
      </c>
      <c r="E219" s="21" t="s">
        <v>126</v>
      </c>
      <c r="F219" s="21" t="s">
        <v>714</v>
      </c>
      <c r="G219" s="21" t="s">
        <v>848</v>
      </c>
      <c r="H219" s="21" t="s">
        <v>88</v>
      </c>
      <c r="I219" s="21" t="s">
        <v>140</v>
      </c>
      <c r="J219" s="17" t="str">
        <f t="shared" si="1"/>
        <v>C · Uy tín &amp; giữ chân</v>
      </c>
      <c r="K219" s="21"/>
      <c r="L219" s="21">
        <f t="shared" si="2"/>
        <v>12</v>
      </c>
      <c r="M219" s="23" t="s">
        <v>1439</v>
      </c>
      <c r="N219" s="17" t="s">
        <v>1440</v>
      </c>
      <c r="O219" s="17" t="s">
        <v>255</v>
      </c>
      <c r="P219" s="17" t="s">
        <v>151</v>
      </c>
    </row>
    <row r="220" ht="46.5" hidden="1" customHeight="1">
      <c r="A220" s="32" t="s">
        <v>1441</v>
      </c>
      <c r="B220" s="28" t="s">
        <v>414</v>
      </c>
      <c r="C220" s="28" t="s">
        <v>127</v>
      </c>
      <c r="D220" s="56" t="s">
        <v>1442</v>
      </c>
      <c r="E220" s="30" t="s">
        <v>157</v>
      </c>
      <c r="F220" s="30" t="s">
        <v>714</v>
      </c>
      <c r="G220" s="30" t="s">
        <v>848</v>
      </c>
      <c r="H220" s="30" t="s">
        <v>88</v>
      </c>
      <c r="I220" s="30" t="s">
        <v>140</v>
      </c>
      <c r="J220" s="28" t="str">
        <f t="shared" si="1"/>
        <v>C · Uy tín &amp; giữ chân</v>
      </c>
      <c r="K220" s="30"/>
      <c r="L220" s="30">
        <f t="shared" si="2"/>
        <v>12</v>
      </c>
      <c r="M220" s="42" t="s">
        <v>1443</v>
      </c>
      <c r="N220" s="28" t="s">
        <v>1444</v>
      </c>
      <c r="O220" s="28" t="s">
        <v>1445</v>
      </c>
      <c r="P220" s="28" t="s">
        <v>324</v>
      </c>
    </row>
    <row r="221" ht="46.5" hidden="1" customHeight="1">
      <c r="A221" s="18" t="s">
        <v>1446</v>
      </c>
      <c r="B221" s="17" t="s">
        <v>414</v>
      </c>
      <c r="C221" s="17" t="s">
        <v>127</v>
      </c>
      <c r="D221" s="36" t="s">
        <v>1447</v>
      </c>
      <c r="E221" s="21" t="s">
        <v>264</v>
      </c>
      <c r="F221" s="21" t="s">
        <v>714</v>
      </c>
      <c r="G221" s="21" t="s">
        <v>1059</v>
      </c>
      <c r="H221" s="21" t="s">
        <v>873</v>
      </c>
      <c r="I221" s="21" t="s">
        <v>140</v>
      </c>
      <c r="J221" s="17" t="str">
        <f t="shared" si="1"/>
        <v>C · Uy tín &amp; giữ chân</v>
      </c>
      <c r="K221" s="21"/>
      <c r="L221" s="21">
        <f t="shared" si="2"/>
        <v>4</v>
      </c>
      <c r="M221" s="23" t="s">
        <v>1448</v>
      </c>
      <c r="N221" s="17" t="s">
        <v>1449</v>
      </c>
      <c r="O221" s="17" t="s">
        <v>1450</v>
      </c>
      <c r="P221" s="17" t="s">
        <v>324</v>
      </c>
    </row>
    <row r="222" ht="46.5" hidden="1" customHeight="1">
      <c r="A222" s="32" t="s">
        <v>1451</v>
      </c>
      <c r="B222" s="28" t="s">
        <v>414</v>
      </c>
      <c r="C222" s="28" t="s">
        <v>127</v>
      </c>
      <c r="D222" s="56" t="s">
        <v>1452</v>
      </c>
      <c r="E222" s="30" t="s">
        <v>264</v>
      </c>
      <c r="F222" s="30" t="s">
        <v>714</v>
      </c>
      <c r="G222" s="30" t="s">
        <v>85</v>
      </c>
      <c r="H222" s="30" t="s">
        <v>88</v>
      </c>
      <c r="I222" s="30" t="s">
        <v>140</v>
      </c>
      <c r="J222" s="28" t="str">
        <f t="shared" si="1"/>
        <v>C · Uy tín &amp; giữ chân</v>
      </c>
      <c r="K222" s="30"/>
      <c r="L222" s="30">
        <f t="shared" si="2"/>
        <v>18</v>
      </c>
      <c r="M222" s="42" t="s">
        <v>1453</v>
      </c>
      <c r="N222" s="28" t="s">
        <v>1454</v>
      </c>
      <c r="O222" s="28" t="s">
        <v>1455</v>
      </c>
      <c r="P222" s="28" t="s">
        <v>324</v>
      </c>
    </row>
    <row r="223" ht="46.5" hidden="1" customHeight="1">
      <c r="A223" s="18" t="s">
        <v>1456</v>
      </c>
      <c r="B223" s="17" t="s">
        <v>414</v>
      </c>
      <c r="C223" s="17" t="s">
        <v>127</v>
      </c>
      <c r="D223" s="36" t="s">
        <v>1457</v>
      </c>
      <c r="E223" s="21" t="s">
        <v>1291</v>
      </c>
      <c r="F223" s="21" t="s">
        <v>714</v>
      </c>
      <c r="G223" s="21" t="s">
        <v>85</v>
      </c>
      <c r="H223" s="21" t="s">
        <v>88</v>
      </c>
      <c r="I223" s="21" t="s">
        <v>140</v>
      </c>
      <c r="J223" s="17" t="str">
        <f t="shared" si="1"/>
        <v>C · Uy tín &amp; giữ chân</v>
      </c>
      <c r="K223" s="21"/>
      <c r="L223" s="21">
        <f t="shared" si="2"/>
        <v>18</v>
      </c>
      <c r="M223" s="23" t="s">
        <v>1458</v>
      </c>
      <c r="N223" s="17" t="s">
        <v>1459</v>
      </c>
      <c r="O223" s="17" t="s">
        <v>1460</v>
      </c>
      <c r="P223" s="17" t="s">
        <v>324</v>
      </c>
    </row>
    <row r="224" ht="46.5" hidden="1" customHeight="1">
      <c r="A224" s="32" t="s">
        <v>1461</v>
      </c>
      <c r="B224" s="28" t="s">
        <v>414</v>
      </c>
      <c r="C224" s="28" t="s">
        <v>127</v>
      </c>
      <c r="D224" s="56" t="s">
        <v>1462</v>
      </c>
      <c r="E224" s="30" t="s">
        <v>589</v>
      </c>
      <c r="F224" s="30" t="s">
        <v>714</v>
      </c>
      <c r="G224" s="30" t="s">
        <v>848</v>
      </c>
      <c r="H224" s="30" t="s">
        <v>88</v>
      </c>
      <c r="I224" s="30" t="s">
        <v>140</v>
      </c>
      <c r="J224" s="28" t="str">
        <f t="shared" si="1"/>
        <v>C · Uy tín &amp; giữ chân</v>
      </c>
      <c r="K224" s="30"/>
      <c r="L224" s="30">
        <f t="shared" si="2"/>
        <v>12</v>
      </c>
      <c r="M224" s="42" t="s">
        <v>1463</v>
      </c>
      <c r="N224" s="28" t="s">
        <v>1464</v>
      </c>
      <c r="O224" s="28" t="s">
        <v>1465</v>
      </c>
      <c r="P224" s="28" t="s">
        <v>324</v>
      </c>
    </row>
    <row r="225" ht="46.5" hidden="1" customHeight="1">
      <c r="A225" s="18" t="s">
        <v>1466</v>
      </c>
      <c r="B225" s="17" t="s">
        <v>414</v>
      </c>
      <c r="C225" s="17" t="s">
        <v>127</v>
      </c>
      <c r="D225" s="36" t="s">
        <v>1467</v>
      </c>
      <c r="E225" s="21" t="s">
        <v>589</v>
      </c>
      <c r="F225" s="21" t="s">
        <v>714</v>
      </c>
      <c r="G225" s="21" t="s">
        <v>85</v>
      </c>
      <c r="H225" s="21" t="s">
        <v>88</v>
      </c>
      <c r="I225" s="21" t="s">
        <v>140</v>
      </c>
      <c r="J225" s="17" t="str">
        <f t="shared" si="1"/>
        <v>C · Uy tín &amp; giữ chân</v>
      </c>
      <c r="K225" s="21"/>
      <c r="L225" s="21">
        <f t="shared" si="2"/>
        <v>18</v>
      </c>
      <c r="M225" s="23" t="s">
        <v>1468</v>
      </c>
      <c r="N225" s="17" t="s">
        <v>1469</v>
      </c>
      <c r="O225" s="17" t="s">
        <v>199</v>
      </c>
      <c r="P225" s="17" t="s">
        <v>324</v>
      </c>
    </row>
    <row r="226" ht="46.5" hidden="1" customHeight="1">
      <c r="A226" s="32" t="s">
        <v>1470</v>
      </c>
      <c r="B226" s="28" t="s">
        <v>414</v>
      </c>
      <c r="C226" s="28" t="s">
        <v>127</v>
      </c>
      <c r="D226" s="56" t="s">
        <v>1471</v>
      </c>
      <c r="E226" s="30" t="s">
        <v>126</v>
      </c>
      <c r="F226" s="30" t="s">
        <v>714</v>
      </c>
      <c r="G226" s="30" t="s">
        <v>848</v>
      </c>
      <c r="H226" s="30" t="s">
        <v>88</v>
      </c>
      <c r="I226" s="30" t="s">
        <v>140</v>
      </c>
      <c r="J226" s="28" t="str">
        <f t="shared" si="1"/>
        <v>C · Uy tín &amp; giữ chân</v>
      </c>
      <c r="K226" s="30"/>
      <c r="L226" s="30">
        <f t="shared" si="2"/>
        <v>12</v>
      </c>
      <c r="M226" s="42" t="s">
        <v>1472</v>
      </c>
      <c r="N226" s="28" t="s">
        <v>1473</v>
      </c>
      <c r="O226" s="28" t="s">
        <v>583</v>
      </c>
      <c r="P226" s="28" t="s">
        <v>151</v>
      </c>
    </row>
    <row r="227" ht="46.5" hidden="1" customHeight="1">
      <c r="A227" s="18" t="s">
        <v>1474</v>
      </c>
      <c r="B227" s="17" t="s">
        <v>414</v>
      </c>
      <c r="C227" s="17" t="s">
        <v>127</v>
      </c>
      <c r="D227" s="36" t="s">
        <v>1475</v>
      </c>
      <c r="E227" s="21" t="s">
        <v>343</v>
      </c>
      <c r="F227" s="21" t="s">
        <v>83</v>
      </c>
      <c r="G227" s="21" t="s">
        <v>85</v>
      </c>
      <c r="H227" s="21" t="s">
        <v>88</v>
      </c>
      <c r="I227" s="21" t="s">
        <v>140</v>
      </c>
      <c r="J227" s="17" t="str">
        <f t="shared" si="1"/>
        <v>C · Uy tín &amp; giữ chân</v>
      </c>
      <c r="K227" s="21"/>
      <c r="L227" s="21">
        <f t="shared" si="2"/>
        <v>27</v>
      </c>
      <c r="M227" s="23" t="s">
        <v>1476</v>
      </c>
      <c r="N227" s="17" t="s">
        <v>1477</v>
      </c>
      <c r="O227" s="17" t="s">
        <v>347</v>
      </c>
      <c r="P227" s="17" t="s">
        <v>151</v>
      </c>
    </row>
    <row r="228" ht="46.5" hidden="1" customHeight="1">
      <c r="A228" s="32" t="s">
        <v>1478</v>
      </c>
      <c r="B228" s="28" t="s">
        <v>414</v>
      </c>
      <c r="C228" s="28" t="s">
        <v>127</v>
      </c>
      <c r="D228" s="56" t="s">
        <v>1479</v>
      </c>
      <c r="E228" s="30" t="s">
        <v>940</v>
      </c>
      <c r="F228" s="30" t="s">
        <v>714</v>
      </c>
      <c r="G228" s="30" t="s">
        <v>848</v>
      </c>
      <c r="H228" s="30" t="s">
        <v>873</v>
      </c>
      <c r="I228" s="30" t="s">
        <v>140</v>
      </c>
      <c r="J228" s="28" t="str">
        <f t="shared" si="1"/>
        <v>C · Uy tín &amp; giữ chân</v>
      </c>
      <c r="K228" s="30"/>
      <c r="L228" s="30">
        <f t="shared" si="2"/>
        <v>8</v>
      </c>
      <c r="M228" s="42" t="s">
        <v>1480</v>
      </c>
      <c r="N228" s="28" t="s">
        <v>1481</v>
      </c>
      <c r="O228" s="28" t="s">
        <v>1482</v>
      </c>
      <c r="P228" s="28" t="s">
        <v>324</v>
      </c>
    </row>
    <row r="229" ht="46.5" hidden="1" customHeight="1">
      <c r="A229" s="18" t="s">
        <v>1483</v>
      </c>
      <c r="B229" s="17" t="s">
        <v>414</v>
      </c>
      <c r="C229" s="17" t="s">
        <v>127</v>
      </c>
      <c r="D229" s="36" t="s">
        <v>1484</v>
      </c>
      <c r="E229" s="21" t="s">
        <v>589</v>
      </c>
      <c r="F229" s="21" t="s">
        <v>714</v>
      </c>
      <c r="G229" s="21" t="s">
        <v>848</v>
      </c>
      <c r="H229" s="21" t="s">
        <v>88</v>
      </c>
      <c r="I229" s="21" t="s">
        <v>140</v>
      </c>
      <c r="J229" s="17" t="str">
        <f t="shared" si="1"/>
        <v>C · Uy tín &amp; giữ chân</v>
      </c>
      <c r="K229" s="21"/>
      <c r="L229" s="21">
        <f t="shared" si="2"/>
        <v>12</v>
      </c>
      <c r="M229" s="23" t="s">
        <v>1485</v>
      </c>
      <c r="N229" s="17" t="s">
        <v>1486</v>
      </c>
      <c r="O229" s="17" t="s">
        <v>1487</v>
      </c>
      <c r="P229" s="17" t="s">
        <v>324</v>
      </c>
    </row>
    <row r="230" ht="33.0" hidden="1" customHeight="1">
      <c r="A230" s="32" t="s">
        <v>1488</v>
      </c>
      <c r="B230" s="28" t="s">
        <v>432</v>
      </c>
      <c r="C230" s="28" t="s">
        <v>37</v>
      </c>
      <c r="D230" s="56" t="s">
        <v>1489</v>
      </c>
      <c r="E230" s="30" t="s">
        <v>1025</v>
      </c>
      <c r="F230" s="30" t="s">
        <v>1064</v>
      </c>
      <c r="G230" s="30" t="s">
        <v>848</v>
      </c>
      <c r="H230" s="30" t="s">
        <v>873</v>
      </c>
      <c r="I230" s="30" t="s">
        <v>140</v>
      </c>
      <c r="J230" s="28" t="str">
        <f t="shared" si="1"/>
        <v>D · Cửa vào rộng</v>
      </c>
      <c r="K230" s="30"/>
      <c r="L230" s="30">
        <f t="shared" si="2"/>
        <v>4</v>
      </c>
      <c r="M230" s="42" t="s">
        <v>1490</v>
      </c>
      <c r="N230" s="28" t="s">
        <v>1491</v>
      </c>
      <c r="O230" s="28" t="s">
        <v>491</v>
      </c>
      <c r="P230" s="28" t="s">
        <v>929</v>
      </c>
    </row>
    <row r="231" ht="46.5" hidden="1" customHeight="1">
      <c r="A231" s="18" t="s">
        <v>1492</v>
      </c>
      <c r="B231" s="17" t="s">
        <v>432</v>
      </c>
      <c r="C231" s="17" t="s">
        <v>37</v>
      </c>
      <c r="D231" s="36" t="s">
        <v>1493</v>
      </c>
      <c r="E231" s="21" t="s">
        <v>239</v>
      </c>
      <c r="F231" s="21" t="s">
        <v>1064</v>
      </c>
      <c r="G231" s="21" t="s">
        <v>848</v>
      </c>
      <c r="H231" s="21" t="s">
        <v>873</v>
      </c>
      <c r="I231" s="21" t="s">
        <v>140</v>
      </c>
      <c r="J231" s="17" t="str">
        <f t="shared" si="1"/>
        <v>D · Cửa vào rộng</v>
      </c>
      <c r="K231" s="21"/>
      <c r="L231" s="21">
        <f t="shared" si="2"/>
        <v>4</v>
      </c>
      <c r="M231" s="23" t="s">
        <v>1494</v>
      </c>
      <c r="N231" s="17" t="s">
        <v>1495</v>
      </c>
      <c r="O231" s="17" t="s">
        <v>491</v>
      </c>
      <c r="P231" s="17" t="s">
        <v>929</v>
      </c>
    </row>
    <row r="232" ht="46.5" hidden="1" customHeight="1">
      <c r="A232" s="32" t="s">
        <v>1496</v>
      </c>
      <c r="B232" s="28" t="s">
        <v>432</v>
      </c>
      <c r="C232" s="28" t="s">
        <v>37</v>
      </c>
      <c r="D232" s="56" t="s">
        <v>1497</v>
      </c>
      <c r="E232" s="30" t="s">
        <v>315</v>
      </c>
      <c r="F232" s="30" t="s">
        <v>1064</v>
      </c>
      <c r="G232" s="30" t="s">
        <v>848</v>
      </c>
      <c r="H232" s="30" t="s">
        <v>873</v>
      </c>
      <c r="I232" s="30" t="s">
        <v>140</v>
      </c>
      <c r="J232" s="28" t="str">
        <f t="shared" si="1"/>
        <v>D · Cửa vào rộng</v>
      </c>
      <c r="K232" s="30"/>
      <c r="L232" s="30">
        <f t="shared" si="2"/>
        <v>4</v>
      </c>
      <c r="M232" s="42" t="s">
        <v>1498</v>
      </c>
      <c r="N232" s="28" t="s">
        <v>1499</v>
      </c>
      <c r="O232" s="28" t="s">
        <v>1247</v>
      </c>
      <c r="P232" s="28" t="s">
        <v>929</v>
      </c>
    </row>
    <row r="233" ht="46.5" hidden="1" customHeight="1">
      <c r="A233" s="18" t="s">
        <v>1500</v>
      </c>
      <c r="B233" s="17" t="s">
        <v>432</v>
      </c>
      <c r="C233" s="17" t="s">
        <v>37</v>
      </c>
      <c r="D233" s="36" t="s">
        <v>1501</v>
      </c>
      <c r="E233" s="21" t="s">
        <v>589</v>
      </c>
      <c r="F233" s="21" t="s">
        <v>714</v>
      </c>
      <c r="G233" s="21" t="s">
        <v>85</v>
      </c>
      <c r="H233" s="21" t="s">
        <v>873</v>
      </c>
      <c r="I233" s="21" t="s">
        <v>140</v>
      </c>
      <c r="J233" s="17" t="str">
        <f t="shared" si="1"/>
        <v>D · Cửa vào rộng</v>
      </c>
      <c r="K233" s="21"/>
      <c r="L233" s="21">
        <f t="shared" si="2"/>
        <v>12</v>
      </c>
      <c r="M233" s="23" t="s">
        <v>1502</v>
      </c>
      <c r="N233" s="17" t="s">
        <v>1503</v>
      </c>
      <c r="O233" s="17" t="s">
        <v>583</v>
      </c>
      <c r="P233" s="17" t="s">
        <v>110</v>
      </c>
    </row>
    <row r="234" ht="46.5" hidden="1" customHeight="1">
      <c r="A234" s="32" t="s">
        <v>1504</v>
      </c>
      <c r="B234" s="28" t="s">
        <v>432</v>
      </c>
      <c r="C234" s="28" t="s">
        <v>37</v>
      </c>
      <c r="D234" s="56" t="s">
        <v>1505</v>
      </c>
      <c r="E234" s="30" t="s">
        <v>1291</v>
      </c>
      <c r="F234" s="30" t="s">
        <v>714</v>
      </c>
      <c r="G234" s="30" t="s">
        <v>85</v>
      </c>
      <c r="H234" s="30" t="s">
        <v>88</v>
      </c>
      <c r="I234" s="30" t="s">
        <v>140</v>
      </c>
      <c r="J234" s="28" t="str">
        <f t="shared" si="1"/>
        <v>D · Cửa vào rộng</v>
      </c>
      <c r="K234" s="30"/>
      <c r="L234" s="30">
        <f t="shared" si="2"/>
        <v>18</v>
      </c>
      <c r="M234" s="42" t="s">
        <v>1506</v>
      </c>
      <c r="N234" s="28" t="s">
        <v>1507</v>
      </c>
      <c r="O234" s="28" t="s">
        <v>199</v>
      </c>
      <c r="P234" s="28" t="s">
        <v>324</v>
      </c>
    </row>
    <row r="235" ht="46.5" hidden="1" customHeight="1">
      <c r="A235" s="18" t="s">
        <v>1508</v>
      </c>
      <c r="B235" s="17" t="s">
        <v>432</v>
      </c>
      <c r="C235" s="17" t="s">
        <v>37</v>
      </c>
      <c r="D235" s="36" t="s">
        <v>1509</v>
      </c>
      <c r="E235" s="21" t="s">
        <v>589</v>
      </c>
      <c r="F235" s="21" t="s">
        <v>714</v>
      </c>
      <c r="G235" s="21" t="s">
        <v>85</v>
      </c>
      <c r="H235" s="21" t="s">
        <v>88</v>
      </c>
      <c r="I235" s="21" t="s">
        <v>140</v>
      </c>
      <c r="J235" s="17" t="str">
        <f t="shared" si="1"/>
        <v>D · Cửa vào rộng</v>
      </c>
      <c r="K235" s="21"/>
      <c r="L235" s="21">
        <f t="shared" si="2"/>
        <v>18</v>
      </c>
      <c r="M235" s="23" t="s">
        <v>1510</v>
      </c>
      <c r="N235" s="17" t="s">
        <v>1511</v>
      </c>
      <c r="O235" s="17" t="s">
        <v>255</v>
      </c>
      <c r="P235" s="17" t="s">
        <v>324</v>
      </c>
    </row>
    <row r="236" ht="46.5" hidden="1" customHeight="1">
      <c r="A236" s="32" t="s">
        <v>1512</v>
      </c>
      <c r="B236" s="28" t="s">
        <v>432</v>
      </c>
      <c r="C236" s="28" t="s">
        <v>37</v>
      </c>
      <c r="D236" s="56" t="s">
        <v>1513</v>
      </c>
      <c r="E236" s="30" t="s">
        <v>264</v>
      </c>
      <c r="F236" s="30" t="s">
        <v>714</v>
      </c>
      <c r="G236" s="30" t="s">
        <v>85</v>
      </c>
      <c r="H236" s="30" t="s">
        <v>88</v>
      </c>
      <c r="I236" s="30" t="s">
        <v>140</v>
      </c>
      <c r="J236" s="28" t="str">
        <f t="shared" si="1"/>
        <v>D · Cửa vào rộng</v>
      </c>
      <c r="K236" s="30"/>
      <c r="L236" s="30">
        <f t="shared" si="2"/>
        <v>18</v>
      </c>
      <c r="M236" s="42" t="s">
        <v>1162</v>
      </c>
      <c r="N236" s="28" t="s">
        <v>1514</v>
      </c>
      <c r="O236" s="28" t="s">
        <v>255</v>
      </c>
      <c r="P236" s="28" t="s">
        <v>110</v>
      </c>
    </row>
    <row r="237" ht="46.5" hidden="1" customHeight="1">
      <c r="A237" s="18" t="s">
        <v>1515</v>
      </c>
      <c r="B237" s="17" t="s">
        <v>432</v>
      </c>
      <c r="C237" s="17" t="s">
        <v>37</v>
      </c>
      <c r="D237" s="36" t="s">
        <v>1516</v>
      </c>
      <c r="E237" s="21" t="s">
        <v>589</v>
      </c>
      <c r="F237" s="21" t="s">
        <v>714</v>
      </c>
      <c r="G237" s="21" t="s">
        <v>85</v>
      </c>
      <c r="H237" s="21" t="s">
        <v>88</v>
      </c>
      <c r="I237" s="21" t="s">
        <v>140</v>
      </c>
      <c r="J237" s="17" t="str">
        <f t="shared" si="1"/>
        <v>D · Cửa vào rộng</v>
      </c>
      <c r="K237" s="21"/>
      <c r="L237" s="21">
        <f t="shared" si="2"/>
        <v>18</v>
      </c>
      <c r="M237" s="23" t="s">
        <v>1517</v>
      </c>
      <c r="N237" s="17" t="s">
        <v>1518</v>
      </c>
      <c r="O237" s="17" t="s">
        <v>255</v>
      </c>
      <c r="P237" s="17" t="s">
        <v>324</v>
      </c>
    </row>
    <row r="238" ht="46.5" hidden="1" customHeight="1">
      <c r="A238" s="32" t="s">
        <v>1519</v>
      </c>
      <c r="B238" s="28" t="s">
        <v>432</v>
      </c>
      <c r="C238" s="28" t="s">
        <v>37</v>
      </c>
      <c r="D238" s="56" t="s">
        <v>1520</v>
      </c>
      <c r="E238" s="30" t="s">
        <v>215</v>
      </c>
      <c r="F238" s="30" t="s">
        <v>714</v>
      </c>
      <c r="G238" s="30" t="s">
        <v>85</v>
      </c>
      <c r="H238" s="30" t="s">
        <v>88</v>
      </c>
      <c r="I238" s="30" t="s">
        <v>140</v>
      </c>
      <c r="J238" s="28" t="str">
        <f t="shared" si="1"/>
        <v>D · Cửa vào rộng</v>
      </c>
      <c r="K238" s="30"/>
      <c r="L238" s="30">
        <f t="shared" si="2"/>
        <v>18</v>
      </c>
      <c r="M238" s="42" t="s">
        <v>1521</v>
      </c>
      <c r="N238" s="28" t="s">
        <v>1522</v>
      </c>
      <c r="O238" s="28" t="s">
        <v>1247</v>
      </c>
      <c r="P238" s="28" t="s">
        <v>324</v>
      </c>
    </row>
    <row r="239" ht="33.0" hidden="1" customHeight="1">
      <c r="A239" s="18" t="s">
        <v>1523</v>
      </c>
      <c r="B239" s="17" t="s">
        <v>432</v>
      </c>
      <c r="C239" s="17" t="s">
        <v>37</v>
      </c>
      <c r="D239" s="36" t="s">
        <v>1524</v>
      </c>
      <c r="E239" s="21" t="s">
        <v>1025</v>
      </c>
      <c r="F239" s="21" t="s">
        <v>1064</v>
      </c>
      <c r="G239" s="21" t="s">
        <v>1059</v>
      </c>
      <c r="H239" s="21" t="s">
        <v>1129</v>
      </c>
      <c r="I239" s="21" t="s">
        <v>140</v>
      </c>
      <c r="J239" s="17" t="str">
        <f t="shared" si="1"/>
        <v>D · Cửa vào rộng</v>
      </c>
      <c r="K239" s="21"/>
      <c r="L239" s="21">
        <f t="shared" si="2"/>
        <v>1</v>
      </c>
      <c r="M239" s="23" t="s">
        <v>1525</v>
      </c>
      <c r="N239" s="17" t="s">
        <v>1526</v>
      </c>
      <c r="O239" s="17" t="s">
        <v>491</v>
      </c>
      <c r="P239" s="17" t="s">
        <v>929</v>
      </c>
    </row>
    <row r="240" ht="33.0" hidden="1" customHeight="1">
      <c r="A240" s="32" t="s">
        <v>1527</v>
      </c>
      <c r="B240" s="28" t="s">
        <v>432</v>
      </c>
      <c r="C240" s="28" t="s">
        <v>37</v>
      </c>
      <c r="D240" s="56" t="s">
        <v>1528</v>
      </c>
      <c r="E240" s="30" t="s">
        <v>239</v>
      </c>
      <c r="F240" s="30" t="s">
        <v>1064</v>
      </c>
      <c r="G240" s="30" t="s">
        <v>848</v>
      </c>
      <c r="H240" s="30" t="s">
        <v>873</v>
      </c>
      <c r="I240" s="30" t="s">
        <v>140</v>
      </c>
      <c r="J240" s="28" t="str">
        <f t="shared" si="1"/>
        <v>D · Cửa vào rộng</v>
      </c>
      <c r="K240" s="30"/>
      <c r="L240" s="30">
        <f t="shared" si="2"/>
        <v>4</v>
      </c>
      <c r="M240" s="42" t="s">
        <v>1494</v>
      </c>
      <c r="N240" s="28" t="s">
        <v>1529</v>
      </c>
      <c r="O240" s="28" t="s">
        <v>491</v>
      </c>
      <c r="P240" s="28" t="s">
        <v>929</v>
      </c>
    </row>
    <row r="241" ht="33.0" hidden="1" customHeight="1">
      <c r="A241" s="18" t="s">
        <v>1530</v>
      </c>
      <c r="B241" s="17" t="s">
        <v>432</v>
      </c>
      <c r="C241" s="17" t="s">
        <v>37</v>
      </c>
      <c r="D241" s="36" t="s">
        <v>1531</v>
      </c>
      <c r="E241" s="21" t="s">
        <v>239</v>
      </c>
      <c r="F241" s="21" t="s">
        <v>714</v>
      </c>
      <c r="G241" s="21" t="s">
        <v>848</v>
      </c>
      <c r="H241" s="21" t="s">
        <v>873</v>
      </c>
      <c r="I241" s="21" t="s">
        <v>140</v>
      </c>
      <c r="J241" s="17" t="str">
        <f t="shared" si="1"/>
        <v>D · Cửa vào rộng</v>
      </c>
      <c r="K241" s="21"/>
      <c r="L241" s="21">
        <f t="shared" si="2"/>
        <v>8</v>
      </c>
      <c r="M241" s="23" t="s">
        <v>1532</v>
      </c>
      <c r="N241" s="17" t="s">
        <v>1533</v>
      </c>
      <c r="O241" s="17" t="s">
        <v>583</v>
      </c>
      <c r="P241" s="17" t="s">
        <v>929</v>
      </c>
    </row>
    <row r="242" ht="46.5" hidden="1" customHeight="1">
      <c r="A242" s="32" t="s">
        <v>1534</v>
      </c>
      <c r="B242" s="28" t="s">
        <v>432</v>
      </c>
      <c r="C242" s="28" t="s">
        <v>37</v>
      </c>
      <c r="D242" s="56" t="s">
        <v>1535</v>
      </c>
      <c r="E242" s="30" t="s">
        <v>1025</v>
      </c>
      <c r="F242" s="30" t="s">
        <v>1064</v>
      </c>
      <c r="G242" s="30" t="s">
        <v>848</v>
      </c>
      <c r="H242" s="30" t="s">
        <v>873</v>
      </c>
      <c r="I242" s="30" t="s">
        <v>140</v>
      </c>
      <c r="J242" s="28" t="str">
        <f t="shared" si="1"/>
        <v>D · Cửa vào rộng</v>
      </c>
      <c r="K242" s="30"/>
      <c r="L242" s="30">
        <f t="shared" si="2"/>
        <v>4</v>
      </c>
      <c r="M242" s="42" t="s">
        <v>1536</v>
      </c>
      <c r="N242" s="28" t="s">
        <v>1537</v>
      </c>
      <c r="O242" s="28" t="s">
        <v>1247</v>
      </c>
      <c r="P242" s="28" t="s">
        <v>324</v>
      </c>
    </row>
    <row r="243" ht="33.0" hidden="1" customHeight="1">
      <c r="A243" s="18" t="s">
        <v>1538</v>
      </c>
      <c r="B243" s="17" t="s">
        <v>432</v>
      </c>
      <c r="C243" s="17" t="s">
        <v>37</v>
      </c>
      <c r="D243" s="36" t="s">
        <v>1539</v>
      </c>
      <c r="E243" s="21" t="s">
        <v>1025</v>
      </c>
      <c r="F243" s="21" t="s">
        <v>1064</v>
      </c>
      <c r="G243" s="21" t="s">
        <v>1059</v>
      </c>
      <c r="H243" s="21" t="s">
        <v>873</v>
      </c>
      <c r="I243" s="21" t="s">
        <v>140</v>
      </c>
      <c r="J243" s="17" t="str">
        <f t="shared" si="1"/>
        <v>D · Cửa vào rộng</v>
      </c>
      <c r="K243" s="21"/>
      <c r="L243" s="21">
        <f t="shared" si="2"/>
        <v>2</v>
      </c>
      <c r="M243" s="23" t="s">
        <v>1540</v>
      </c>
      <c r="N243" s="17" t="s">
        <v>1541</v>
      </c>
      <c r="O243" s="17" t="s">
        <v>255</v>
      </c>
      <c r="P243" s="17" t="s">
        <v>929</v>
      </c>
    </row>
    <row r="244" ht="46.5" hidden="1" customHeight="1">
      <c r="A244" s="32" t="s">
        <v>1542</v>
      </c>
      <c r="B244" s="28" t="s">
        <v>432</v>
      </c>
      <c r="C244" s="28" t="s">
        <v>37</v>
      </c>
      <c r="D244" s="56" t="s">
        <v>1543</v>
      </c>
      <c r="E244" s="30" t="s">
        <v>264</v>
      </c>
      <c r="F244" s="30" t="s">
        <v>1064</v>
      </c>
      <c r="G244" s="30" t="s">
        <v>1059</v>
      </c>
      <c r="H244" s="30" t="s">
        <v>873</v>
      </c>
      <c r="I244" s="30" t="s">
        <v>140</v>
      </c>
      <c r="J244" s="28" t="str">
        <f t="shared" si="1"/>
        <v>D · Cửa vào rộng</v>
      </c>
      <c r="K244" s="30"/>
      <c r="L244" s="30">
        <f t="shared" si="2"/>
        <v>2</v>
      </c>
      <c r="M244" s="42" t="s">
        <v>1544</v>
      </c>
      <c r="N244" s="28" t="s">
        <v>1545</v>
      </c>
      <c r="O244" s="28" t="s">
        <v>199</v>
      </c>
      <c r="P244" s="28" t="s">
        <v>324</v>
      </c>
    </row>
    <row r="245" ht="46.5" hidden="1" customHeight="1">
      <c r="A245" s="18" t="s">
        <v>1546</v>
      </c>
      <c r="B245" s="17" t="s">
        <v>432</v>
      </c>
      <c r="C245" s="17" t="s">
        <v>37</v>
      </c>
      <c r="D245" s="36" t="s">
        <v>1547</v>
      </c>
      <c r="E245" s="21" t="s">
        <v>589</v>
      </c>
      <c r="F245" s="21" t="s">
        <v>714</v>
      </c>
      <c r="G245" s="21" t="s">
        <v>85</v>
      </c>
      <c r="H245" s="21" t="s">
        <v>88</v>
      </c>
      <c r="I245" s="21" t="s">
        <v>140</v>
      </c>
      <c r="J245" s="17" t="str">
        <f t="shared" si="1"/>
        <v>D · Cửa vào rộng</v>
      </c>
      <c r="K245" s="21"/>
      <c r="L245" s="21">
        <f t="shared" si="2"/>
        <v>18</v>
      </c>
      <c r="M245" s="23" t="s">
        <v>1308</v>
      </c>
      <c r="N245" s="17" t="s">
        <v>1548</v>
      </c>
      <c r="O245" s="17" t="s">
        <v>199</v>
      </c>
      <c r="P245" s="17" t="s">
        <v>324</v>
      </c>
    </row>
    <row r="246" ht="33.0" hidden="1" customHeight="1">
      <c r="A246" s="32" t="s">
        <v>1549</v>
      </c>
      <c r="B246" s="28" t="s">
        <v>432</v>
      </c>
      <c r="C246" s="28" t="s">
        <v>37</v>
      </c>
      <c r="D246" s="56" t="s">
        <v>1550</v>
      </c>
      <c r="E246" s="30" t="s">
        <v>589</v>
      </c>
      <c r="F246" s="30" t="s">
        <v>1064</v>
      </c>
      <c r="G246" s="30" t="s">
        <v>1059</v>
      </c>
      <c r="H246" s="30" t="s">
        <v>1129</v>
      </c>
      <c r="I246" s="30" t="s">
        <v>140</v>
      </c>
      <c r="J246" s="28" t="str">
        <f t="shared" si="1"/>
        <v>D · Cửa vào rộng</v>
      </c>
      <c r="K246" s="30"/>
      <c r="L246" s="30">
        <f t="shared" si="2"/>
        <v>1</v>
      </c>
      <c r="M246" s="42" t="s">
        <v>1551</v>
      </c>
      <c r="N246" s="28" t="s">
        <v>1552</v>
      </c>
      <c r="O246" s="28" t="s">
        <v>491</v>
      </c>
      <c r="P246" s="28" t="s">
        <v>929</v>
      </c>
    </row>
    <row r="247" ht="46.5" hidden="1" customHeight="1">
      <c r="A247" s="18" t="s">
        <v>1553</v>
      </c>
      <c r="B247" s="17" t="s">
        <v>432</v>
      </c>
      <c r="C247" s="17" t="s">
        <v>37</v>
      </c>
      <c r="D247" s="36" t="s">
        <v>1554</v>
      </c>
      <c r="E247" s="21" t="s">
        <v>1154</v>
      </c>
      <c r="F247" s="21" t="s">
        <v>714</v>
      </c>
      <c r="G247" s="21" t="s">
        <v>85</v>
      </c>
      <c r="H247" s="21" t="s">
        <v>88</v>
      </c>
      <c r="I247" s="21" t="s">
        <v>140</v>
      </c>
      <c r="J247" s="17" t="str">
        <f t="shared" si="1"/>
        <v>D · Cửa vào rộng</v>
      </c>
      <c r="K247" s="21"/>
      <c r="L247" s="21">
        <f t="shared" si="2"/>
        <v>18</v>
      </c>
      <c r="M247" s="23" t="s">
        <v>1555</v>
      </c>
      <c r="N247" s="17" t="s">
        <v>1556</v>
      </c>
      <c r="O247" s="17" t="s">
        <v>255</v>
      </c>
      <c r="P247" s="17" t="s">
        <v>113</v>
      </c>
    </row>
    <row r="248" ht="33.0" hidden="1" customHeight="1">
      <c r="A248" s="32" t="s">
        <v>1557</v>
      </c>
      <c r="B248" s="28" t="s">
        <v>432</v>
      </c>
      <c r="C248" s="28" t="s">
        <v>37</v>
      </c>
      <c r="D248" s="56" t="s">
        <v>1558</v>
      </c>
      <c r="E248" s="30" t="s">
        <v>1262</v>
      </c>
      <c r="F248" s="30" t="s">
        <v>1064</v>
      </c>
      <c r="G248" s="30" t="s">
        <v>848</v>
      </c>
      <c r="H248" s="30" t="s">
        <v>873</v>
      </c>
      <c r="I248" s="30" t="s">
        <v>140</v>
      </c>
      <c r="J248" s="28" t="str">
        <f t="shared" si="1"/>
        <v>D · Cửa vào rộng</v>
      </c>
      <c r="K248" s="30"/>
      <c r="L248" s="30">
        <f t="shared" si="2"/>
        <v>4</v>
      </c>
      <c r="M248" s="42" t="s">
        <v>1559</v>
      </c>
      <c r="N248" s="28" t="s">
        <v>1560</v>
      </c>
      <c r="O248" s="28" t="s">
        <v>255</v>
      </c>
      <c r="P248" s="28" t="s">
        <v>929</v>
      </c>
    </row>
    <row r="249" ht="46.5" hidden="1" customHeight="1">
      <c r="A249" s="18" t="s">
        <v>1561</v>
      </c>
      <c r="B249" s="17" t="s">
        <v>450</v>
      </c>
      <c r="C249" s="17" t="s">
        <v>37</v>
      </c>
      <c r="D249" s="36" t="s">
        <v>1562</v>
      </c>
      <c r="E249" s="21" t="s">
        <v>1025</v>
      </c>
      <c r="F249" s="21" t="s">
        <v>1064</v>
      </c>
      <c r="G249" s="21" t="s">
        <v>848</v>
      </c>
      <c r="H249" s="21" t="s">
        <v>1129</v>
      </c>
      <c r="I249" s="21" t="s">
        <v>140</v>
      </c>
      <c r="J249" s="17" t="str">
        <f t="shared" si="1"/>
        <v>D · Cửa vào rộng</v>
      </c>
      <c r="K249" s="21"/>
      <c r="L249" s="21">
        <f t="shared" si="2"/>
        <v>2</v>
      </c>
      <c r="M249" s="23" t="s">
        <v>1563</v>
      </c>
      <c r="N249" s="17" t="s">
        <v>1564</v>
      </c>
      <c r="O249" s="17" t="s">
        <v>491</v>
      </c>
      <c r="P249" s="17" t="s">
        <v>929</v>
      </c>
    </row>
    <row r="250" ht="46.5" hidden="1" customHeight="1">
      <c r="A250" s="32" t="s">
        <v>1565</v>
      </c>
      <c r="B250" s="28" t="s">
        <v>450</v>
      </c>
      <c r="C250" s="28" t="s">
        <v>37</v>
      </c>
      <c r="D250" s="56" t="s">
        <v>1566</v>
      </c>
      <c r="E250" s="30" t="s">
        <v>264</v>
      </c>
      <c r="F250" s="30" t="s">
        <v>1064</v>
      </c>
      <c r="G250" s="30" t="s">
        <v>848</v>
      </c>
      <c r="H250" s="30" t="s">
        <v>1129</v>
      </c>
      <c r="I250" s="30" t="s">
        <v>140</v>
      </c>
      <c r="J250" s="28" t="str">
        <f t="shared" si="1"/>
        <v>D · Cửa vào rộng</v>
      </c>
      <c r="K250" s="30"/>
      <c r="L250" s="30">
        <f t="shared" si="2"/>
        <v>2</v>
      </c>
      <c r="M250" s="42" t="s">
        <v>1567</v>
      </c>
      <c r="N250" s="28" t="s">
        <v>1568</v>
      </c>
      <c r="O250" s="28" t="s">
        <v>491</v>
      </c>
      <c r="P250" s="28" t="s">
        <v>110</v>
      </c>
    </row>
    <row r="251" ht="46.5" hidden="1" customHeight="1">
      <c r="A251" s="18" t="s">
        <v>1569</v>
      </c>
      <c r="B251" s="17" t="s">
        <v>450</v>
      </c>
      <c r="C251" s="17" t="s">
        <v>37</v>
      </c>
      <c r="D251" s="36" t="s">
        <v>1570</v>
      </c>
      <c r="E251" s="21" t="s">
        <v>589</v>
      </c>
      <c r="F251" s="21" t="s">
        <v>714</v>
      </c>
      <c r="G251" s="21" t="s">
        <v>1059</v>
      </c>
      <c r="H251" s="21" t="s">
        <v>1129</v>
      </c>
      <c r="I251" s="21" t="s">
        <v>140</v>
      </c>
      <c r="J251" s="17" t="str">
        <f t="shared" si="1"/>
        <v>D · Cửa vào rộng</v>
      </c>
      <c r="K251" s="21"/>
      <c r="L251" s="21">
        <f t="shared" si="2"/>
        <v>2</v>
      </c>
      <c r="M251" s="23" t="s">
        <v>1571</v>
      </c>
      <c r="N251" s="17" t="s">
        <v>1572</v>
      </c>
      <c r="O251" s="17" t="s">
        <v>199</v>
      </c>
      <c r="P251" s="17" t="s">
        <v>324</v>
      </c>
    </row>
    <row r="252" ht="46.5" hidden="1" customHeight="1">
      <c r="A252" s="32" t="s">
        <v>1573</v>
      </c>
      <c r="B252" s="28" t="s">
        <v>450</v>
      </c>
      <c r="C252" s="28" t="s">
        <v>37</v>
      </c>
      <c r="D252" s="56" t="s">
        <v>1574</v>
      </c>
      <c r="E252" s="30" t="s">
        <v>1025</v>
      </c>
      <c r="F252" s="30" t="s">
        <v>1064</v>
      </c>
      <c r="G252" s="30" t="s">
        <v>1059</v>
      </c>
      <c r="H252" s="30" t="s">
        <v>1129</v>
      </c>
      <c r="I252" s="30" t="s">
        <v>140</v>
      </c>
      <c r="J252" s="28" t="str">
        <f t="shared" si="1"/>
        <v>D · Cửa vào rộng</v>
      </c>
      <c r="K252" s="30"/>
      <c r="L252" s="30">
        <f t="shared" si="2"/>
        <v>1</v>
      </c>
      <c r="M252" s="42" t="s">
        <v>1575</v>
      </c>
      <c r="N252" s="28" t="s">
        <v>1576</v>
      </c>
      <c r="O252" s="28" t="s">
        <v>491</v>
      </c>
      <c r="P252" s="28" t="s">
        <v>929</v>
      </c>
    </row>
    <row r="253" ht="46.5" hidden="1" customHeight="1">
      <c r="A253" s="18" t="s">
        <v>1577</v>
      </c>
      <c r="B253" s="17" t="s">
        <v>450</v>
      </c>
      <c r="C253" s="17" t="s">
        <v>37</v>
      </c>
      <c r="D253" s="36" t="s">
        <v>1578</v>
      </c>
      <c r="E253" s="21" t="s">
        <v>589</v>
      </c>
      <c r="F253" s="21" t="s">
        <v>714</v>
      </c>
      <c r="G253" s="21" t="s">
        <v>848</v>
      </c>
      <c r="H253" s="21" t="s">
        <v>873</v>
      </c>
      <c r="I253" s="21" t="s">
        <v>140</v>
      </c>
      <c r="J253" s="17" t="str">
        <f t="shared" si="1"/>
        <v>D · Cửa vào rộng</v>
      </c>
      <c r="K253" s="21"/>
      <c r="L253" s="21">
        <f t="shared" si="2"/>
        <v>8</v>
      </c>
      <c r="M253" s="23" t="s">
        <v>1579</v>
      </c>
      <c r="N253" s="17" t="s">
        <v>1580</v>
      </c>
      <c r="O253" s="17" t="s">
        <v>199</v>
      </c>
      <c r="P253" s="17" t="s">
        <v>324</v>
      </c>
    </row>
    <row r="254" ht="33.0" hidden="1" customHeight="1">
      <c r="A254" s="32" t="s">
        <v>1581</v>
      </c>
      <c r="B254" s="28" t="s">
        <v>450</v>
      </c>
      <c r="C254" s="28" t="s">
        <v>37</v>
      </c>
      <c r="D254" s="56" t="s">
        <v>1582</v>
      </c>
      <c r="E254" s="30" t="s">
        <v>1025</v>
      </c>
      <c r="F254" s="30" t="s">
        <v>1064</v>
      </c>
      <c r="G254" s="30" t="s">
        <v>1059</v>
      </c>
      <c r="H254" s="30" t="s">
        <v>1129</v>
      </c>
      <c r="I254" s="30" t="s">
        <v>140</v>
      </c>
      <c r="J254" s="28" t="str">
        <f t="shared" si="1"/>
        <v>D · Cửa vào rộng</v>
      </c>
      <c r="K254" s="30"/>
      <c r="L254" s="30">
        <f t="shared" si="2"/>
        <v>1</v>
      </c>
      <c r="M254" s="42" t="s">
        <v>1583</v>
      </c>
      <c r="N254" s="28" t="s">
        <v>1584</v>
      </c>
      <c r="O254" s="28" t="s">
        <v>491</v>
      </c>
      <c r="P254" s="28" t="s">
        <v>929</v>
      </c>
    </row>
    <row r="255" ht="46.5" hidden="1" customHeight="1">
      <c r="A255" s="18" t="s">
        <v>1585</v>
      </c>
      <c r="B255" s="17" t="s">
        <v>450</v>
      </c>
      <c r="C255" s="17" t="s">
        <v>37</v>
      </c>
      <c r="D255" s="36" t="s">
        <v>1586</v>
      </c>
      <c r="E255" s="21" t="s">
        <v>589</v>
      </c>
      <c r="F255" s="21" t="s">
        <v>714</v>
      </c>
      <c r="G255" s="21" t="s">
        <v>85</v>
      </c>
      <c r="H255" s="21" t="s">
        <v>873</v>
      </c>
      <c r="I255" s="21" t="s">
        <v>140</v>
      </c>
      <c r="J255" s="17" t="str">
        <f t="shared" si="1"/>
        <v>D · Cửa vào rộng</v>
      </c>
      <c r="K255" s="21"/>
      <c r="L255" s="21">
        <f t="shared" si="2"/>
        <v>12</v>
      </c>
      <c r="M255" s="23" t="s">
        <v>1587</v>
      </c>
      <c r="N255" s="17" t="s">
        <v>1588</v>
      </c>
      <c r="O255" s="17" t="s">
        <v>199</v>
      </c>
      <c r="P255" s="17" t="s">
        <v>324</v>
      </c>
    </row>
    <row r="256" ht="46.5" hidden="1" customHeight="1">
      <c r="A256" s="32" t="s">
        <v>1589</v>
      </c>
      <c r="B256" s="28" t="s">
        <v>450</v>
      </c>
      <c r="C256" s="28" t="s">
        <v>37</v>
      </c>
      <c r="D256" s="56" t="s">
        <v>1590</v>
      </c>
      <c r="E256" s="30" t="s">
        <v>157</v>
      </c>
      <c r="F256" s="30" t="s">
        <v>83</v>
      </c>
      <c r="G256" s="30" t="s">
        <v>85</v>
      </c>
      <c r="H256" s="30" t="s">
        <v>88</v>
      </c>
      <c r="I256" s="30" t="s">
        <v>140</v>
      </c>
      <c r="J256" s="28" t="str">
        <f t="shared" si="1"/>
        <v>D · Cửa vào rộng</v>
      </c>
      <c r="K256" s="30"/>
      <c r="L256" s="30">
        <f t="shared" si="2"/>
        <v>27</v>
      </c>
      <c r="M256" s="42" t="s">
        <v>1591</v>
      </c>
      <c r="N256" s="28" t="s">
        <v>1592</v>
      </c>
      <c r="O256" s="28" t="s">
        <v>199</v>
      </c>
      <c r="P256" s="28" t="s">
        <v>324</v>
      </c>
    </row>
    <row r="257" ht="46.5" hidden="1" customHeight="1">
      <c r="A257" s="18" t="s">
        <v>1593</v>
      </c>
      <c r="B257" s="17" t="s">
        <v>450</v>
      </c>
      <c r="C257" s="17" t="s">
        <v>37</v>
      </c>
      <c r="D257" s="36" t="s">
        <v>1594</v>
      </c>
      <c r="E257" s="21" t="s">
        <v>157</v>
      </c>
      <c r="F257" s="21" t="s">
        <v>83</v>
      </c>
      <c r="G257" s="21" t="s">
        <v>848</v>
      </c>
      <c r="H257" s="21" t="s">
        <v>873</v>
      </c>
      <c r="I257" s="21" t="s">
        <v>140</v>
      </c>
      <c r="J257" s="17" t="str">
        <f t="shared" si="1"/>
        <v>D · Cửa vào rộng</v>
      </c>
      <c r="K257" s="21"/>
      <c r="L257" s="21">
        <f t="shared" si="2"/>
        <v>12</v>
      </c>
      <c r="M257" s="23" t="s">
        <v>965</v>
      </c>
      <c r="N257" s="17" t="s">
        <v>1595</v>
      </c>
      <c r="O257" s="17" t="s">
        <v>199</v>
      </c>
      <c r="P257" s="17" t="s">
        <v>324</v>
      </c>
    </row>
    <row r="258" ht="46.5" hidden="1" customHeight="1">
      <c r="A258" s="32" t="s">
        <v>1596</v>
      </c>
      <c r="B258" s="28" t="s">
        <v>450</v>
      </c>
      <c r="C258" s="28" t="s">
        <v>37</v>
      </c>
      <c r="D258" s="56" t="s">
        <v>1597</v>
      </c>
      <c r="E258" s="30" t="s">
        <v>82</v>
      </c>
      <c r="F258" s="30" t="s">
        <v>714</v>
      </c>
      <c r="G258" s="30" t="s">
        <v>85</v>
      </c>
      <c r="H258" s="30" t="s">
        <v>88</v>
      </c>
      <c r="I258" s="30" t="s">
        <v>140</v>
      </c>
      <c r="J258" s="28" t="str">
        <f t="shared" si="1"/>
        <v>D · Cửa vào rộng</v>
      </c>
      <c r="K258" s="30"/>
      <c r="L258" s="30">
        <f t="shared" si="2"/>
        <v>18</v>
      </c>
      <c r="M258" s="42" t="s">
        <v>1598</v>
      </c>
      <c r="N258" s="28" t="s">
        <v>1599</v>
      </c>
      <c r="O258" s="28" t="s">
        <v>199</v>
      </c>
      <c r="P258" s="28" t="s">
        <v>324</v>
      </c>
    </row>
    <row r="259" ht="46.5" hidden="1" customHeight="1">
      <c r="A259" s="18" t="s">
        <v>1600</v>
      </c>
      <c r="B259" s="17" t="s">
        <v>450</v>
      </c>
      <c r="C259" s="17" t="s">
        <v>37</v>
      </c>
      <c r="D259" s="36" t="s">
        <v>1601</v>
      </c>
      <c r="E259" s="21" t="s">
        <v>82</v>
      </c>
      <c r="F259" s="21" t="s">
        <v>714</v>
      </c>
      <c r="G259" s="21" t="s">
        <v>85</v>
      </c>
      <c r="H259" s="21" t="s">
        <v>88</v>
      </c>
      <c r="I259" s="21" t="s">
        <v>140</v>
      </c>
      <c r="J259" s="17" t="str">
        <f t="shared" si="1"/>
        <v>D · Cửa vào rộng</v>
      </c>
      <c r="K259" s="21"/>
      <c r="L259" s="21">
        <f t="shared" si="2"/>
        <v>18</v>
      </c>
      <c r="M259" s="23" t="s">
        <v>1198</v>
      </c>
      <c r="N259" s="17" t="s">
        <v>1602</v>
      </c>
      <c r="O259" s="17" t="s">
        <v>199</v>
      </c>
      <c r="P259" s="17" t="s">
        <v>324</v>
      </c>
    </row>
    <row r="260" ht="46.5" hidden="1" customHeight="1">
      <c r="A260" s="32" t="s">
        <v>1603</v>
      </c>
      <c r="B260" s="28" t="s">
        <v>450</v>
      </c>
      <c r="C260" s="28" t="s">
        <v>37</v>
      </c>
      <c r="D260" s="56" t="s">
        <v>1604</v>
      </c>
      <c r="E260" s="30" t="s">
        <v>264</v>
      </c>
      <c r="F260" s="30" t="s">
        <v>714</v>
      </c>
      <c r="G260" s="30" t="s">
        <v>848</v>
      </c>
      <c r="H260" s="30" t="s">
        <v>873</v>
      </c>
      <c r="I260" s="30" t="s">
        <v>140</v>
      </c>
      <c r="J260" s="28" t="str">
        <f t="shared" si="1"/>
        <v>D · Cửa vào rộng</v>
      </c>
      <c r="K260" s="30"/>
      <c r="L260" s="30">
        <f t="shared" si="2"/>
        <v>8</v>
      </c>
      <c r="M260" s="42" t="s">
        <v>1605</v>
      </c>
      <c r="N260" s="28" t="s">
        <v>1606</v>
      </c>
      <c r="O260" s="28" t="s">
        <v>199</v>
      </c>
      <c r="P260" s="28" t="s">
        <v>324</v>
      </c>
    </row>
    <row r="261" ht="33.0" hidden="1" customHeight="1">
      <c r="A261" s="18" t="s">
        <v>1607</v>
      </c>
      <c r="B261" s="17" t="s">
        <v>450</v>
      </c>
      <c r="C261" s="17" t="s">
        <v>37</v>
      </c>
      <c r="D261" s="36" t="s">
        <v>1608</v>
      </c>
      <c r="E261" s="21" t="s">
        <v>264</v>
      </c>
      <c r="F261" s="21" t="s">
        <v>1064</v>
      </c>
      <c r="G261" s="21" t="s">
        <v>1059</v>
      </c>
      <c r="H261" s="21" t="s">
        <v>1129</v>
      </c>
      <c r="I261" s="21" t="s">
        <v>140</v>
      </c>
      <c r="J261" s="17" t="str">
        <f t="shared" si="1"/>
        <v>D · Cửa vào rộng</v>
      </c>
      <c r="K261" s="21"/>
      <c r="L261" s="21">
        <f t="shared" si="2"/>
        <v>1</v>
      </c>
      <c r="M261" s="23" t="s">
        <v>1609</v>
      </c>
      <c r="N261" s="17" t="s">
        <v>1610</v>
      </c>
      <c r="O261" s="17" t="s">
        <v>880</v>
      </c>
      <c r="P261" s="17" t="s">
        <v>929</v>
      </c>
    </row>
    <row r="262" ht="33.0" hidden="1" customHeight="1">
      <c r="A262" s="32" t="s">
        <v>1611</v>
      </c>
      <c r="B262" s="28" t="s">
        <v>450</v>
      </c>
      <c r="C262" s="28" t="s">
        <v>37</v>
      </c>
      <c r="D262" s="56" t="s">
        <v>1612</v>
      </c>
      <c r="E262" s="30" t="s">
        <v>264</v>
      </c>
      <c r="F262" s="30" t="s">
        <v>1064</v>
      </c>
      <c r="G262" s="30" t="s">
        <v>848</v>
      </c>
      <c r="H262" s="30" t="s">
        <v>873</v>
      </c>
      <c r="I262" s="30" t="s">
        <v>140</v>
      </c>
      <c r="J262" s="28" t="str">
        <f t="shared" si="1"/>
        <v>D · Cửa vào rộng</v>
      </c>
      <c r="K262" s="30"/>
      <c r="L262" s="30">
        <f t="shared" si="2"/>
        <v>4</v>
      </c>
      <c r="M262" s="42" t="s">
        <v>1613</v>
      </c>
      <c r="N262" s="28" t="s">
        <v>1614</v>
      </c>
      <c r="O262" s="28" t="s">
        <v>491</v>
      </c>
      <c r="P262" s="28" t="s">
        <v>929</v>
      </c>
    </row>
    <row r="263" ht="33.0" hidden="1" customHeight="1">
      <c r="A263" s="18" t="s">
        <v>1615</v>
      </c>
      <c r="B263" s="17" t="s">
        <v>450</v>
      </c>
      <c r="C263" s="17" t="s">
        <v>37</v>
      </c>
      <c r="D263" s="36" t="s">
        <v>1616</v>
      </c>
      <c r="E263" s="21" t="s">
        <v>264</v>
      </c>
      <c r="F263" s="21" t="s">
        <v>1064</v>
      </c>
      <c r="G263" s="21" t="s">
        <v>848</v>
      </c>
      <c r="H263" s="21" t="s">
        <v>873</v>
      </c>
      <c r="I263" s="21" t="s">
        <v>140</v>
      </c>
      <c r="J263" s="17" t="str">
        <f t="shared" si="1"/>
        <v>D · Cửa vào rộng</v>
      </c>
      <c r="K263" s="21"/>
      <c r="L263" s="21">
        <f t="shared" si="2"/>
        <v>4</v>
      </c>
      <c r="M263" s="23" t="s">
        <v>1617</v>
      </c>
      <c r="N263" s="17" t="s">
        <v>1618</v>
      </c>
      <c r="O263" s="17" t="s">
        <v>491</v>
      </c>
      <c r="P263" s="17" t="s">
        <v>929</v>
      </c>
    </row>
    <row r="264" ht="46.5" hidden="1" customHeight="1">
      <c r="A264" s="32" t="s">
        <v>1619</v>
      </c>
      <c r="B264" s="28" t="s">
        <v>450</v>
      </c>
      <c r="C264" s="28" t="s">
        <v>37</v>
      </c>
      <c r="D264" s="56" t="s">
        <v>1620</v>
      </c>
      <c r="E264" s="30" t="s">
        <v>1262</v>
      </c>
      <c r="F264" s="30" t="s">
        <v>1064</v>
      </c>
      <c r="G264" s="30" t="s">
        <v>1059</v>
      </c>
      <c r="H264" s="30" t="s">
        <v>1129</v>
      </c>
      <c r="I264" s="30" t="s">
        <v>140</v>
      </c>
      <c r="J264" s="28" t="str">
        <f t="shared" si="1"/>
        <v>D · Cửa vào rộng</v>
      </c>
      <c r="K264" s="30"/>
      <c r="L264" s="30">
        <f t="shared" si="2"/>
        <v>1</v>
      </c>
      <c r="M264" s="42" t="s">
        <v>1559</v>
      </c>
      <c r="N264" s="28" t="s">
        <v>1621</v>
      </c>
      <c r="O264" s="28" t="s">
        <v>491</v>
      </c>
      <c r="P264" s="28" t="s">
        <v>1622</v>
      </c>
    </row>
    <row r="265" ht="46.5" hidden="1" customHeight="1">
      <c r="A265" s="18" t="s">
        <v>1623</v>
      </c>
      <c r="B265" s="17" t="s">
        <v>450</v>
      </c>
      <c r="C265" s="17" t="s">
        <v>37</v>
      </c>
      <c r="D265" s="36" t="s">
        <v>1624</v>
      </c>
      <c r="E265" s="21" t="s">
        <v>264</v>
      </c>
      <c r="F265" s="21" t="s">
        <v>714</v>
      </c>
      <c r="G265" s="21" t="s">
        <v>85</v>
      </c>
      <c r="H265" s="21" t="s">
        <v>873</v>
      </c>
      <c r="I265" s="21" t="s">
        <v>140</v>
      </c>
      <c r="J265" s="17" t="str">
        <f t="shared" si="1"/>
        <v>D · Cửa vào rộng</v>
      </c>
      <c r="K265" s="21"/>
      <c r="L265" s="21">
        <f t="shared" si="2"/>
        <v>12</v>
      </c>
      <c r="M265" s="23" t="s">
        <v>1625</v>
      </c>
      <c r="N265" s="17" t="s">
        <v>1626</v>
      </c>
      <c r="O265" s="17" t="s">
        <v>199</v>
      </c>
      <c r="P265" s="17" t="s">
        <v>324</v>
      </c>
    </row>
    <row r="266" ht="33.0" hidden="1" customHeight="1">
      <c r="A266" s="32" t="s">
        <v>1627</v>
      </c>
      <c r="B266" s="28" t="s">
        <v>450</v>
      </c>
      <c r="C266" s="28" t="s">
        <v>37</v>
      </c>
      <c r="D266" s="56" t="s">
        <v>1628</v>
      </c>
      <c r="E266" s="30" t="s">
        <v>264</v>
      </c>
      <c r="F266" s="30" t="s">
        <v>1064</v>
      </c>
      <c r="G266" s="30" t="s">
        <v>1059</v>
      </c>
      <c r="H266" s="30" t="s">
        <v>1129</v>
      </c>
      <c r="I266" s="30" t="s">
        <v>140</v>
      </c>
      <c r="J266" s="28" t="str">
        <f t="shared" si="1"/>
        <v>D · Cửa vào rộng</v>
      </c>
      <c r="K266" s="30"/>
      <c r="L266" s="30">
        <f t="shared" si="2"/>
        <v>1</v>
      </c>
      <c r="M266" s="42" t="s">
        <v>1567</v>
      </c>
      <c r="N266" s="28" t="s">
        <v>1629</v>
      </c>
      <c r="O266" s="28" t="s">
        <v>491</v>
      </c>
      <c r="P266" s="28" t="s">
        <v>929</v>
      </c>
    </row>
    <row r="267" ht="15.75" customHeight="1">
      <c r="C267" s="43"/>
      <c r="F267" s="43"/>
      <c r="G267" s="43"/>
      <c r="H267" s="43"/>
      <c r="I267" s="43"/>
    </row>
    <row r="268" ht="15.75" customHeight="1">
      <c r="C268" s="43"/>
      <c r="F268" s="43"/>
      <c r="G268" s="43"/>
      <c r="H268" s="43"/>
      <c r="I268" s="43"/>
    </row>
    <row r="269" ht="15.75" customHeight="1">
      <c r="C269" s="43"/>
      <c r="F269" s="43"/>
      <c r="G269" s="43"/>
      <c r="H269" s="43"/>
      <c r="I269" s="43"/>
    </row>
    <row r="270" ht="15.75" customHeight="1">
      <c r="C270" s="43"/>
      <c r="F270" s="43"/>
      <c r="G270" s="43"/>
      <c r="H270" s="43"/>
      <c r="I270" s="43"/>
    </row>
    <row r="271" ht="15.75" customHeight="1">
      <c r="C271" s="43"/>
      <c r="F271" s="43"/>
      <c r="G271" s="43"/>
      <c r="H271" s="43"/>
      <c r="I271" s="43"/>
    </row>
    <row r="272" ht="15.75" customHeight="1">
      <c r="C272" s="43"/>
      <c r="F272" s="43"/>
      <c r="G272" s="43"/>
      <c r="H272" s="43"/>
      <c r="I272" s="43"/>
    </row>
    <row r="273" ht="15.75" customHeight="1">
      <c r="C273" s="43"/>
      <c r="F273" s="43"/>
      <c r="G273" s="43"/>
      <c r="H273" s="43"/>
      <c r="I273" s="43"/>
    </row>
    <row r="274" ht="15.75" customHeight="1">
      <c r="C274" s="43"/>
      <c r="F274" s="43"/>
      <c r="G274" s="43"/>
      <c r="H274" s="43"/>
      <c r="I274" s="43"/>
    </row>
    <row r="275" ht="15.75" customHeight="1">
      <c r="C275" s="43"/>
      <c r="F275" s="43"/>
      <c r="G275" s="43"/>
      <c r="H275" s="43"/>
      <c r="I275" s="43"/>
    </row>
    <row r="276" ht="15.75" customHeight="1">
      <c r="C276" s="43"/>
      <c r="F276" s="43"/>
      <c r="G276" s="43"/>
      <c r="H276" s="43"/>
      <c r="I276" s="43"/>
    </row>
    <row r="277" ht="15.75" customHeight="1">
      <c r="C277" s="43"/>
      <c r="F277" s="43"/>
      <c r="G277" s="43"/>
      <c r="H277" s="43"/>
      <c r="I277" s="43"/>
    </row>
    <row r="278" ht="15.75" customHeight="1">
      <c r="C278" s="43"/>
      <c r="F278" s="43"/>
      <c r="G278" s="43"/>
      <c r="H278" s="43"/>
      <c r="I278" s="43"/>
    </row>
    <row r="279" ht="15.75" customHeight="1">
      <c r="C279" s="43"/>
      <c r="F279" s="43"/>
      <c r="G279" s="43"/>
      <c r="H279" s="43"/>
      <c r="I279" s="43"/>
    </row>
    <row r="280" ht="15.75" customHeight="1">
      <c r="C280" s="43"/>
      <c r="F280" s="43"/>
      <c r="G280" s="43"/>
      <c r="H280" s="43"/>
      <c r="I280" s="43"/>
    </row>
    <row r="281" ht="15.75" customHeight="1">
      <c r="C281" s="43"/>
      <c r="F281" s="43"/>
      <c r="G281" s="43"/>
      <c r="H281" s="43"/>
      <c r="I281" s="43"/>
    </row>
    <row r="282" ht="15.75" customHeight="1">
      <c r="C282" s="43"/>
      <c r="F282" s="43"/>
      <c r="G282" s="43"/>
      <c r="H282" s="43"/>
      <c r="I282" s="43"/>
    </row>
    <row r="283" ht="15.75" customHeight="1">
      <c r="C283" s="43"/>
      <c r="F283" s="43"/>
      <c r="G283" s="43"/>
      <c r="H283" s="43"/>
      <c r="I283" s="43"/>
    </row>
    <row r="284" ht="15.75" customHeight="1">
      <c r="C284" s="43"/>
      <c r="F284" s="43"/>
      <c r="G284" s="43"/>
      <c r="H284" s="43"/>
      <c r="I284" s="43"/>
    </row>
    <row r="285" ht="15.75" customHeight="1">
      <c r="C285" s="43"/>
      <c r="F285" s="43"/>
      <c r="G285" s="43"/>
      <c r="H285" s="43"/>
      <c r="I285" s="43"/>
    </row>
    <row r="286" ht="15.75" customHeight="1">
      <c r="C286" s="43"/>
      <c r="F286" s="43"/>
      <c r="G286" s="43"/>
      <c r="H286" s="43"/>
      <c r="I286" s="43"/>
    </row>
    <row r="287" ht="15.75" customHeight="1">
      <c r="C287" s="43"/>
      <c r="F287" s="43"/>
      <c r="G287" s="43"/>
      <c r="H287" s="43"/>
      <c r="I287" s="43"/>
    </row>
    <row r="288" ht="15.75" customHeight="1">
      <c r="C288" s="43"/>
      <c r="F288" s="43"/>
      <c r="G288" s="43"/>
      <c r="H288" s="43"/>
      <c r="I288" s="43"/>
    </row>
    <row r="289" ht="15.75" customHeight="1">
      <c r="C289" s="43"/>
      <c r="F289" s="43"/>
      <c r="G289" s="43"/>
      <c r="H289" s="43"/>
      <c r="I289" s="43"/>
    </row>
    <row r="290" ht="15.75" customHeight="1">
      <c r="C290" s="43"/>
      <c r="F290" s="43"/>
      <c r="G290" s="43"/>
      <c r="H290" s="43"/>
      <c r="I290" s="43"/>
    </row>
    <row r="291" ht="15.75" customHeight="1">
      <c r="C291" s="43"/>
      <c r="F291" s="43"/>
      <c r="G291" s="43"/>
      <c r="H291" s="43"/>
      <c r="I291" s="43"/>
    </row>
    <row r="292" ht="15.75" customHeight="1">
      <c r="C292" s="43"/>
      <c r="F292" s="43"/>
      <c r="G292" s="43"/>
      <c r="H292" s="43"/>
      <c r="I292" s="43"/>
    </row>
    <row r="293" ht="15.75" customHeight="1">
      <c r="C293" s="43"/>
      <c r="F293" s="43"/>
      <c r="G293" s="43"/>
      <c r="H293" s="43"/>
      <c r="I293" s="43"/>
    </row>
    <row r="294" ht="15.75" customHeight="1">
      <c r="C294" s="43"/>
      <c r="F294" s="43"/>
      <c r="G294" s="43"/>
      <c r="H294" s="43"/>
      <c r="I294" s="43"/>
    </row>
    <row r="295" ht="15.75" customHeight="1">
      <c r="C295" s="43"/>
      <c r="F295" s="43"/>
      <c r="G295" s="43"/>
      <c r="H295" s="43"/>
      <c r="I295" s="43"/>
    </row>
    <row r="296" ht="15.75" customHeight="1">
      <c r="C296" s="43"/>
      <c r="F296" s="43"/>
      <c r="G296" s="43"/>
      <c r="H296" s="43"/>
      <c r="I296" s="43"/>
    </row>
    <row r="297" ht="15.75" customHeight="1">
      <c r="C297" s="43"/>
      <c r="F297" s="43"/>
      <c r="G297" s="43"/>
      <c r="H297" s="43"/>
      <c r="I297" s="43"/>
    </row>
    <row r="298" ht="15.75" customHeight="1">
      <c r="C298" s="43"/>
      <c r="F298" s="43"/>
      <c r="G298" s="43"/>
      <c r="H298" s="43"/>
      <c r="I298" s="43"/>
    </row>
    <row r="299" ht="15.75" customHeight="1">
      <c r="C299" s="43"/>
      <c r="F299" s="43"/>
      <c r="G299" s="43"/>
      <c r="H299" s="43"/>
      <c r="I299" s="43"/>
    </row>
    <row r="300" ht="15.75" customHeight="1">
      <c r="C300" s="43"/>
      <c r="F300" s="43"/>
      <c r="G300" s="43"/>
      <c r="H300" s="43"/>
      <c r="I300" s="43"/>
    </row>
    <row r="301" ht="15.75" customHeight="1">
      <c r="C301" s="43"/>
      <c r="F301" s="43"/>
      <c r="G301" s="43"/>
      <c r="H301" s="43"/>
      <c r="I301" s="43"/>
    </row>
    <row r="302" ht="15.75" customHeight="1">
      <c r="C302" s="43"/>
      <c r="F302" s="43"/>
      <c r="G302" s="43"/>
      <c r="H302" s="43"/>
      <c r="I302" s="43"/>
    </row>
    <row r="303" ht="15.75" customHeight="1">
      <c r="C303" s="43"/>
      <c r="F303" s="43"/>
      <c r="G303" s="43"/>
      <c r="H303" s="43"/>
      <c r="I303" s="43"/>
    </row>
    <row r="304" ht="15.75" customHeight="1">
      <c r="C304" s="43"/>
      <c r="F304" s="43"/>
      <c r="G304" s="43"/>
      <c r="H304" s="43"/>
      <c r="I304" s="43"/>
    </row>
    <row r="305" ht="15.75" customHeight="1">
      <c r="C305" s="43"/>
      <c r="F305" s="43"/>
      <c r="G305" s="43"/>
      <c r="H305" s="43"/>
      <c r="I305" s="43"/>
    </row>
    <row r="306" ht="15.75" customHeight="1">
      <c r="C306" s="43"/>
      <c r="F306" s="43"/>
      <c r="G306" s="43"/>
      <c r="H306" s="43"/>
      <c r="I306" s="43"/>
    </row>
    <row r="307" ht="15.75" customHeight="1">
      <c r="C307" s="43"/>
      <c r="F307" s="43"/>
      <c r="G307" s="43"/>
      <c r="H307" s="43"/>
      <c r="I307" s="43"/>
    </row>
    <row r="308" ht="15.75" customHeight="1">
      <c r="C308" s="43"/>
      <c r="F308" s="43"/>
      <c r="G308" s="43"/>
      <c r="H308" s="43"/>
      <c r="I308" s="43"/>
    </row>
    <row r="309" ht="15.75" customHeight="1">
      <c r="C309" s="43"/>
      <c r="F309" s="43"/>
      <c r="G309" s="43"/>
      <c r="H309" s="43"/>
      <c r="I309" s="43"/>
    </row>
    <row r="310" ht="15.75" customHeight="1">
      <c r="C310" s="43"/>
      <c r="F310" s="43"/>
      <c r="G310" s="43"/>
      <c r="H310" s="43"/>
      <c r="I310" s="43"/>
    </row>
    <row r="311" ht="15.75" customHeight="1">
      <c r="C311" s="43"/>
      <c r="F311" s="43"/>
      <c r="G311" s="43"/>
      <c r="H311" s="43"/>
      <c r="I311" s="43"/>
    </row>
    <row r="312" ht="15.75" customHeight="1">
      <c r="C312" s="43"/>
      <c r="F312" s="43"/>
      <c r="G312" s="43"/>
      <c r="H312" s="43"/>
      <c r="I312" s="43"/>
    </row>
    <row r="313" ht="15.75" customHeight="1">
      <c r="C313" s="43"/>
      <c r="F313" s="43"/>
      <c r="G313" s="43"/>
      <c r="H313" s="43"/>
      <c r="I313" s="43"/>
    </row>
    <row r="314" ht="15.75" customHeight="1">
      <c r="C314" s="43"/>
      <c r="F314" s="43"/>
      <c r="G314" s="43"/>
      <c r="H314" s="43"/>
      <c r="I314" s="43"/>
    </row>
    <row r="315" ht="15.75" customHeight="1">
      <c r="C315" s="43"/>
      <c r="F315" s="43"/>
      <c r="G315" s="43"/>
      <c r="H315" s="43"/>
      <c r="I315" s="43"/>
    </row>
    <row r="316" ht="15.75" customHeight="1">
      <c r="C316" s="43"/>
      <c r="F316" s="43"/>
      <c r="G316" s="43"/>
      <c r="H316" s="43"/>
      <c r="I316" s="43"/>
    </row>
    <row r="317" ht="15.75" customHeight="1">
      <c r="C317" s="43"/>
      <c r="F317" s="43"/>
      <c r="G317" s="43"/>
      <c r="H317" s="43"/>
      <c r="I317" s="43"/>
    </row>
    <row r="318" ht="15.75" customHeight="1">
      <c r="C318" s="43"/>
      <c r="F318" s="43"/>
      <c r="G318" s="43"/>
      <c r="H318" s="43"/>
      <c r="I318" s="43"/>
    </row>
    <row r="319" ht="15.75" customHeight="1">
      <c r="C319" s="43"/>
      <c r="F319" s="43"/>
      <c r="G319" s="43"/>
      <c r="H319" s="43"/>
      <c r="I319" s="43"/>
    </row>
    <row r="320" ht="15.75" customHeight="1">
      <c r="C320" s="43"/>
      <c r="F320" s="43"/>
      <c r="G320" s="43"/>
      <c r="H320" s="43"/>
      <c r="I320" s="43"/>
    </row>
    <row r="321" ht="15.75" customHeight="1">
      <c r="C321" s="43"/>
      <c r="F321" s="43"/>
      <c r="G321" s="43"/>
      <c r="H321" s="43"/>
      <c r="I321" s="43"/>
    </row>
    <row r="322" ht="15.75" customHeight="1">
      <c r="C322" s="43"/>
      <c r="F322" s="43"/>
      <c r="G322" s="43"/>
      <c r="H322" s="43"/>
      <c r="I322" s="43"/>
    </row>
    <row r="323" ht="15.75" customHeight="1">
      <c r="C323" s="43"/>
      <c r="F323" s="43"/>
      <c r="G323" s="43"/>
      <c r="H323" s="43"/>
      <c r="I323" s="43"/>
    </row>
    <row r="324" ht="15.75" customHeight="1">
      <c r="C324" s="43"/>
      <c r="F324" s="43"/>
      <c r="G324" s="43"/>
      <c r="H324" s="43"/>
      <c r="I324" s="43"/>
    </row>
    <row r="325" ht="15.75" customHeight="1">
      <c r="C325" s="43"/>
      <c r="F325" s="43"/>
      <c r="G325" s="43"/>
      <c r="H325" s="43"/>
      <c r="I325" s="43"/>
    </row>
    <row r="326" ht="15.75" customHeight="1">
      <c r="C326" s="43"/>
      <c r="F326" s="43"/>
      <c r="G326" s="43"/>
      <c r="H326" s="43"/>
      <c r="I326" s="43"/>
    </row>
    <row r="327" ht="15.75" customHeight="1">
      <c r="C327" s="43"/>
      <c r="F327" s="43"/>
      <c r="G327" s="43"/>
      <c r="H327" s="43"/>
      <c r="I327" s="43"/>
    </row>
    <row r="328" ht="15.75" customHeight="1">
      <c r="C328" s="43"/>
      <c r="F328" s="43"/>
      <c r="G328" s="43"/>
      <c r="H328" s="43"/>
      <c r="I328" s="43"/>
    </row>
    <row r="329" ht="15.75" customHeight="1">
      <c r="C329" s="43"/>
      <c r="F329" s="43"/>
      <c r="G329" s="43"/>
      <c r="H329" s="43"/>
      <c r="I329" s="43"/>
    </row>
    <row r="330" ht="15.75" customHeight="1">
      <c r="C330" s="43"/>
      <c r="F330" s="43"/>
      <c r="G330" s="43"/>
      <c r="H330" s="43"/>
      <c r="I330" s="43"/>
    </row>
    <row r="331" ht="15.75" customHeight="1">
      <c r="C331" s="43"/>
      <c r="F331" s="43"/>
      <c r="G331" s="43"/>
      <c r="H331" s="43"/>
      <c r="I331" s="43"/>
    </row>
    <row r="332" ht="15.75" customHeight="1">
      <c r="C332" s="43"/>
      <c r="F332" s="43"/>
      <c r="G332" s="43"/>
      <c r="H332" s="43"/>
      <c r="I332" s="43"/>
    </row>
    <row r="333" ht="15.75" customHeight="1">
      <c r="C333" s="43"/>
      <c r="F333" s="43"/>
      <c r="G333" s="43"/>
      <c r="H333" s="43"/>
      <c r="I333" s="43"/>
    </row>
    <row r="334" ht="15.75" customHeight="1">
      <c r="C334" s="43"/>
      <c r="F334" s="43"/>
      <c r="G334" s="43"/>
      <c r="H334" s="43"/>
      <c r="I334" s="43"/>
    </row>
    <row r="335" ht="15.75" customHeight="1">
      <c r="C335" s="43"/>
      <c r="F335" s="43"/>
      <c r="G335" s="43"/>
      <c r="H335" s="43"/>
      <c r="I335" s="43"/>
    </row>
    <row r="336" ht="15.75" customHeight="1">
      <c r="C336" s="43"/>
      <c r="F336" s="43"/>
      <c r="G336" s="43"/>
      <c r="H336" s="43"/>
      <c r="I336" s="43"/>
    </row>
    <row r="337" ht="15.75" customHeight="1">
      <c r="C337" s="43"/>
      <c r="F337" s="43"/>
      <c r="G337" s="43"/>
      <c r="H337" s="43"/>
      <c r="I337" s="43"/>
    </row>
    <row r="338" ht="15.75" customHeight="1">
      <c r="C338" s="43"/>
      <c r="F338" s="43"/>
      <c r="G338" s="43"/>
      <c r="H338" s="43"/>
      <c r="I338" s="43"/>
    </row>
    <row r="339" ht="15.75" customHeight="1">
      <c r="C339" s="43"/>
      <c r="F339" s="43"/>
      <c r="G339" s="43"/>
      <c r="H339" s="43"/>
      <c r="I339" s="43"/>
    </row>
    <row r="340" ht="15.75" customHeight="1">
      <c r="C340" s="43"/>
      <c r="F340" s="43"/>
      <c r="G340" s="43"/>
      <c r="H340" s="43"/>
      <c r="I340" s="43"/>
    </row>
    <row r="341" ht="15.75" customHeight="1">
      <c r="C341" s="43"/>
      <c r="F341" s="43"/>
      <c r="G341" s="43"/>
      <c r="H341" s="43"/>
      <c r="I341" s="43"/>
    </row>
    <row r="342" ht="15.75" customHeight="1">
      <c r="C342" s="43"/>
      <c r="F342" s="43"/>
      <c r="G342" s="43"/>
      <c r="H342" s="43"/>
      <c r="I342" s="43"/>
    </row>
    <row r="343" ht="15.75" customHeight="1">
      <c r="C343" s="43"/>
      <c r="F343" s="43"/>
      <c r="G343" s="43"/>
      <c r="H343" s="43"/>
      <c r="I343" s="43"/>
    </row>
    <row r="344" ht="15.75" customHeight="1">
      <c r="C344" s="43"/>
      <c r="F344" s="43"/>
      <c r="G344" s="43"/>
      <c r="H344" s="43"/>
      <c r="I344" s="43"/>
    </row>
    <row r="345" ht="15.75" customHeight="1">
      <c r="C345" s="43"/>
      <c r="F345" s="43"/>
      <c r="G345" s="43"/>
      <c r="H345" s="43"/>
      <c r="I345" s="43"/>
    </row>
    <row r="346" ht="15.75" customHeight="1">
      <c r="C346" s="43"/>
      <c r="F346" s="43"/>
      <c r="G346" s="43"/>
      <c r="H346" s="43"/>
      <c r="I346" s="43"/>
    </row>
    <row r="347" ht="15.75" customHeight="1">
      <c r="C347" s="43"/>
      <c r="F347" s="43"/>
      <c r="G347" s="43"/>
      <c r="H347" s="43"/>
      <c r="I347" s="43"/>
    </row>
    <row r="348" ht="15.75" customHeight="1">
      <c r="C348" s="43"/>
      <c r="F348" s="43"/>
      <c r="G348" s="43"/>
      <c r="H348" s="43"/>
      <c r="I348" s="43"/>
    </row>
    <row r="349" ht="15.75" customHeight="1">
      <c r="C349" s="43"/>
      <c r="F349" s="43"/>
      <c r="G349" s="43"/>
      <c r="H349" s="43"/>
      <c r="I349" s="43"/>
    </row>
    <row r="350" ht="15.75" customHeight="1">
      <c r="C350" s="43"/>
      <c r="F350" s="43"/>
      <c r="G350" s="43"/>
      <c r="H350" s="43"/>
      <c r="I350" s="43"/>
    </row>
    <row r="351" ht="15.75" customHeight="1">
      <c r="C351" s="43"/>
      <c r="F351" s="43"/>
      <c r="G351" s="43"/>
      <c r="H351" s="43"/>
      <c r="I351" s="43"/>
    </row>
    <row r="352" ht="15.75" customHeight="1">
      <c r="C352" s="43"/>
      <c r="F352" s="43"/>
      <c r="G352" s="43"/>
      <c r="H352" s="43"/>
      <c r="I352" s="43"/>
    </row>
    <row r="353" ht="15.75" customHeight="1">
      <c r="C353" s="43"/>
      <c r="F353" s="43"/>
      <c r="G353" s="43"/>
      <c r="H353" s="43"/>
      <c r="I353" s="43"/>
    </row>
    <row r="354" ht="15.75" customHeight="1">
      <c r="C354" s="43"/>
      <c r="F354" s="43"/>
      <c r="G354" s="43"/>
      <c r="H354" s="43"/>
      <c r="I354" s="43"/>
    </row>
    <row r="355" ht="15.75" customHeight="1">
      <c r="C355" s="43"/>
      <c r="F355" s="43"/>
      <c r="G355" s="43"/>
      <c r="H355" s="43"/>
      <c r="I355" s="43"/>
    </row>
    <row r="356" ht="15.75" customHeight="1">
      <c r="C356" s="43"/>
      <c r="F356" s="43"/>
      <c r="G356" s="43"/>
      <c r="H356" s="43"/>
      <c r="I356" s="43"/>
    </row>
    <row r="357" ht="15.75" customHeight="1">
      <c r="C357" s="43"/>
      <c r="F357" s="43"/>
      <c r="G357" s="43"/>
      <c r="H357" s="43"/>
      <c r="I357" s="43"/>
    </row>
    <row r="358" ht="15.75" customHeight="1">
      <c r="C358" s="43"/>
      <c r="F358" s="43"/>
      <c r="G358" s="43"/>
      <c r="H358" s="43"/>
      <c r="I358" s="43"/>
    </row>
    <row r="359" ht="15.75" customHeight="1">
      <c r="C359" s="43"/>
      <c r="F359" s="43"/>
      <c r="G359" s="43"/>
      <c r="H359" s="43"/>
      <c r="I359" s="43"/>
    </row>
    <row r="360" ht="15.75" customHeight="1">
      <c r="C360" s="43"/>
      <c r="F360" s="43"/>
      <c r="G360" s="43"/>
      <c r="H360" s="43"/>
      <c r="I360" s="43"/>
    </row>
    <row r="361" ht="15.75" customHeight="1">
      <c r="C361" s="43"/>
      <c r="F361" s="43"/>
      <c r="G361" s="43"/>
      <c r="H361" s="43"/>
      <c r="I361" s="43"/>
    </row>
    <row r="362" ht="15.75" customHeight="1">
      <c r="C362" s="43"/>
      <c r="F362" s="43"/>
      <c r="G362" s="43"/>
      <c r="H362" s="43"/>
      <c r="I362" s="43"/>
    </row>
    <row r="363" ht="15.75" customHeight="1">
      <c r="C363" s="43"/>
      <c r="F363" s="43"/>
      <c r="G363" s="43"/>
      <c r="H363" s="43"/>
      <c r="I363" s="43"/>
    </row>
    <row r="364" ht="15.75" customHeight="1">
      <c r="C364" s="43"/>
      <c r="F364" s="43"/>
      <c r="G364" s="43"/>
      <c r="H364" s="43"/>
      <c r="I364" s="43"/>
    </row>
    <row r="365" ht="15.75" customHeight="1">
      <c r="C365" s="43"/>
      <c r="F365" s="43"/>
      <c r="G365" s="43"/>
      <c r="H365" s="43"/>
      <c r="I365" s="43"/>
    </row>
    <row r="366" ht="15.75" customHeight="1">
      <c r="C366" s="43"/>
      <c r="F366" s="43"/>
      <c r="G366" s="43"/>
      <c r="H366" s="43"/>
      <c r="I366" s="43"/>
    </row>
    <row r="367" ht="15.75" customHeight="1">
      <c r="C367" s="43"/>
      <c r="F367" s="43"/>
      <c r="G367" s="43"/>
      <c r="H367" s="43"/>
      <c r="I367" s="43"/>
    </row>
    <row r="368" ht="15.75" customHeight="1">
      <c r="C368" s="43"/>
      <c r="F368" s="43"/>
      <c r="G368" s="43"/>
      <c r="H368" s="43"/>
      <c r="I368" s="43"/>
    </row>
    <row r="369" ht="15.75" customHeight="1">
      <c r="C369" s="43"/>
      <c r="F369" s="43"/>
      <c r="G369" s="43"/>
      <c r="H369" s="43"/>
      <c r="I369" s="43"/>
    </row>
    <row r="370" ht="15.75" customHeight="1">
      <c r="C370" s="43"/>
      <c r="F370" s="43"/>
      <c r="G370" s="43"/>
      <c r="H370" s="43"/>
      <c r="I370" s="43"/>
    </row>
    <row r="371" ht="15.75" customHeight="1">
      <c r="C371" s="43"/>
      <c r="F371" s="43"/>
      <c r="G371" s="43"/>
      <c r="H371" s="43"/>
      <c r="I371" s="43"/>
    </row>
    <row r="372" ht="15.75" customHeight="1">
      <c r="C372" s="43"/>
      <c r="F372" s="43"/>
      <c r="G372" s="43"/>
      <c r="H372" s="43"/>
      <c r="I372" s="43"/>
    </row>
    <row r="373" ht="15.75" customHeight="1">
      <c r="C373" s="43"/>
      <c r="F373" s="43"/>
      <c r="G373" s="43"/>
      <c r="H373" s="43"/>
      <c r="I373" s="43"/>
    </row>
    <row r="374" ht="15.75" customHeight="1">
      <c r="C374" s="43"/>
      <c r="F374" s="43"/>
      <c r="G374" s="43"/>
      <c r="H374" s="43"/>
      <c r="I374" s="43"/>
    </row>
    <row r="375" ht="15.75" customHeight="1">
      <c r="C375" s="43"/>
      <c r="F375" s="43"/>
      <c r="G375" s="43"/>
      <c r="H375" s="43"/>
      <c r="I375" s="43"/>
    </row>
    <row r="376" ht="15.75" customHeight="1">
      <c r="C376" s="43"/>
      <c r="F376" s="43"/>
      <c r="G376" s="43"/>
      <c r="H376" s="43"/>
      <c r="I376" s="43"/>
    </row>
    <row r="377" ht="15.75" customHeight="1">
      <c r="C377" s="43"/>
      <c r="F377" s="43"/>
      <c r="G377" s="43"/>
      <c r="H377" s="43"/>
      <c r="I377" s="43"/>
    </row>
    <row r="378" ht="15.75" customHeight="1">
      <c r="C378" s="43"/>
      <c r="F378" s="43"/>
      <c r="G378" s="43"/>
      <c r="H378" s="43"/>
      <c r="I378" s="43"/>
    </row>
    <row r="379" ht="15.75" customHeight="1">
      <c r="C379" s="43"/>
      <c r="F379" s="43"/>
      <c r="G379" s="43"/>
      <c r="H379" s="43"/>
      <c r="I379" s="43"/>
    </row>
    <row r="380" ht="15.75" customHeight="1">
      <c r="C380" s="43"/>
      <c r="F380" s="43"/>
      <c r="G380" s="43"/>
      <c r="H380" s="43"/>
      <c r="I380" s="43"/>
    </row>
    <row r="381" ht="15.75" customHeight="1">
      <c r="C381" s="43"/>
      <c r="F381" s="43"/>
      <c r="G381" s="43"/>
      <c r="H381" s="43"/>
      <c r="I381" s="43"/>
    </row>
    <row r="382" ht="15.75" customHeight="1">
      <c r="C382" s="43"/>
      <c r="F382" s="43"/>
      <c r="G382" s="43"/>
      <c r="H382" s="43"/>
      <c r="I382" s="43"/>
    </row>
    <row r="383" ht="15.75" customHeight="1">
      <c r="C383" s="43"/>
      <c r="F383" s="43"/>
      <c r="G383" s="43"/>
      <c r="H383" s="43"/>
      <c r="I383" s="43"/>
    </row>
    <row r="384" ht="15.75" customHeight="1">
      <c r="C384" s="43"/>
      <c r="F384" s="43"/>
      <c r="G384" s="43"/>
      <c r="H384" s="43"/>
      <c r="I384" s="43"/>
    </row>
    <row r="385" ht="15.75" customHeight="1">
      <c r="C385" s="43"/>
      <c r="F385" s="43"/>
      <c r="G385" s="43"/>
      <c r="H385" s="43"/>
      <c r="I385" s="43"/>
    </row>
    <row r="386" ht="15.75" customHeight="1">
      <c r="C386" s="43"/>
      <c r="F386" s="43"/>
      <c r="G386" s="43"/>
      <c r="H386" s="43"/>
      <c r="I386" s="43"/>
    </row>
    <row r="387" ht="15.75" customHeight="1">
      <c r="C387" s="43"/>
      <c r="F387" s="43"/>
      <c r="G387" s="43"/>
      <c r="H387" s="43"/>
      <c r="I387" s="43"/>
    </row>
    <row r="388" ht="15.75" customHeight="1">
      <c r="C388" s="43"/>
      <c r="F388" s="43"/>
      <c r="G388" s="43"/>
      <c r="H388" s="43"/>
      <c r="I388" s="43"/>
    </row>
    <row r="389" ht="15.75" customHeight="1">
      <c r="C389" s="43"/>
      <c r="F389" s="43"/>
      <c r="G389" s="43"/>
      <c r="H389" s="43"/>
      <c r="I389" s="43"/>
    </row>
    <row r="390" ht="15.75" customHeight="1">
      <c r="C390" s="43"/>
      <c r="F390" s="43"/>
      <c r="G390" s="43"/>
      <c r="H390" s="43"/>
      <c r="I390" s="43"/>
    </row>
    <row r="391" ht="15.75" customHeight="1">
      <c r="C391" s="43"/>
      <c r="F391" s="43"/>
      <c r="G391" s="43"/>
      <c r="H391" s="43"/>
      <c r="I391" s="43"/>
    </row>
    <row r="392" ht="15.75" customHeight="1">
      <c r="C392" s="43"/>
      <c r="F392" s="43"/>
      <c r="G392" s="43"/>
      <c r="H392" s="43"/>
      <c r="I392" s="43"/>
    </row>
    <row r="393" ht="15.75" customHeight="1">
      <c r="C393" s="43"/>
      <c r="F393" s="43"/>
      <c r="G393" s="43"/>
      <c r="H393" s="43"/>
      <c r="I393" s="43"/>
    </row>
    <row r="394" ht="15.75" customHeight="1">
      <c r="C394" s="43"/>
      <c r="F394" s="43"/>
      <c r="G394" s="43"/>
      <c r="H394" s="43"/>
      <c r="I394" s="43"/>
    </row>
    <row r="395" ht="15.75" customHeight="1">
      <c r="C395" s="43"/>
      <c r="F395" s="43"/>
      <c r="G395" s="43"/>
      <c r="H395" s="43"/>
      <c r="I395" s="43"/>
    </row>
    <row r="396" ht="15.75" customHeight="1">
      <c r="C396" s="43"/>
      <c r="F396" s="43"/>
      <c r="G396" s="43"/>
      <c r="H396" s="43"/>
      <c r="I396" s="43"/>
    </row>
    <row r="397" ht="15.75" customHeight="1">
      <c r="C397" s="43"/>
      <c r="F397" s="43"/>
      <c r="G397" s="43"/>
      <c r="H397" s="43"/>
      <c r="I397" s="43"/>
    </row>
    <row r="398" ht="15.75" customHeight="1">
      <c r="C398" s="43"/>
      <c r="F398" s="43"/>
      <c r="G398" s="43"/>
      <c r="H398" s="43"/>
      <c r="I398" s="43"/>
    </row>
    <row r="399" ht="15.75" customHeight="1">
      <c r="C399" s="43"/>
      <c r="F399" s="43"/>
      <c r="G399" s="43"/>
      <c r="H399" s="43"/>
      <c r="I399" s="43"/>
    </row>
    <row r="400" ht="15.75" customHeight="1">
      <c r="C400" s="43"/>
      <c r="F400" s="43"/>
      <c r="G400" s="43"/>
      <c r="H400" s="43"/>
      <c r="I400" s="43"/>
    </row>
    <row r="401" ht="15.75" customHeight="1">
      <c r="C401" s="43"/>
      <c r="F401" s="43"/>
      <c r="G401" s="43"/>
      <c r="H401" s="43"/>
      <c r="I401" s="43"/>
    </row>
    <row r="402" ht="15.75" customHeight="1">
      <c r="C402" s="43"/>
      <c r="F402" s="43"/>
      <c r="G402" s="43"/>
      <c r="H402" s="43"/>
      <c r="I402" s="43"/>
    </row>
    <row r="403" ht="15.75" customHeight="1">
      <c r="C403" s="43"/>
      <c r="F403" s="43"/>
      <c r="G403" s="43"/>
      <c r="H403" s="43"/>
      <c r="I403" s="43"/>
    </row>
    <row r="404" ht="15.75" customHeight="1">
      <c r="C404" s="43"/>
      <c r="F404" s="43"/>
      <c r="G404" s="43"/>
      <c r="H404" s="43"/>
      <c r="I404" s="43"/>
    </row>
    <row r="405" ht="15.75" customHeight="1">
      <c r="C405" s="43"/>
      <c r="F405" s="43"/>
      <c r="G405" s="43"/>
      <c r="H405" s="43"/>
      <c r="I405" s="43"/>
    </row>
    <row r="406" ht="15.75" customHeight="1">
      <c r="C406" s="43"/>
      <c r="F406" s="43"/>
      <c r="G406" s="43"/>
      <c r="H406" s="43"/>
      <c r="I406" s="43"/>
    </row>
    <row r="407" ht="15.75" customHeight="1">
      <c r="C407" s="43"/>
      <c r="F407" s="43"/>
      <c r="G407" s="43"/>
      <c r="H407" s="43"/>
      <c r="I407" s="43"/>
    </row>
    <row r="408" ht="15.75" customHeight="1">
      <c r="C408" s="43"/>
      <c r="F408" s="43"/>
      <c r="G408" s="43"/>
      <c r="H408" s="43"/>
      <c r="I408" s="43"/>
    </row>
    <row r="409" ht="15.75" customHeight="1">
      <c r="C409" s="43"/>
      <c r="F409" s="43"/>
      <c r="G409" s="43"/>
      <c r="H409" s="43"/>
      <c r="I409" s="43"/>
    </row>
    <row r="410" ht="15.75" customHeight="1">
      <c r="C410" s="43"/>
      <c r="F410" s="43"/>
      <c r="G410" s="43"/>
      <c r="H410" s="43"/>
      <c r="I410" s="43"/>
    </row>
    <row r="411" ht="15.75" customHeight="1">
      <c r="C411" s="43"/>
      <c r="F411" s="43"/>
      <c r="G411" s="43"/>
      <c r="H411" s="43"/>
      <c r="I411" s="43"/>
    </row>
    <row r="412" ht="15.75" customHeight="1">
      <c r="C412" s="43"/>
      <c r="F412" s="43"/>
      <c r="G412" s="43"/>
      <c r="H412" s="43"/>
      <c r="I412" s="43"/>
    </row>
    <row r="413" ht="15.75" customHeight="1">
      <c r="C413" s="43"/>
      <c r="F413" s="43"/>
      <c r="G413" s="43"/>
      <c r="H413" s="43"/>
      <c r="I413" s="43"/>
    </row>
    <row r="414" ht="15.75" customHeight="1">
      <c r="C414" s="43"/>
      <c r="F414" s="43"/>
      <c r="G414" s="43"/>
      <c r="H414" s="43"/>
      <c r="I414" s="43"/>
    </row>
    <row r="415" ht="15.75" customHeight="1">
      <c r="C415" s="43"/>
      <c r="F415" s="43"/>
      <c r="G415" s="43"/>
      <c r="H415" s="43"/>
      <c r="I415" s="43"/>
    </row>
    <row r="416" ht="15.75" customHeight="1">
      <c r="C416" s="43"/>
      <c r="F416" s="43"/>
      <c r="G416" s="43"/>
      <c r="H416" s="43"/>
      <c r="I416" s="43"/>
    </row>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P$266">
    <filterColumn colId="0">
      <filters>
        <filter val="C06-20"/>
        <filter val="C13-09"/>
        <filter val="C13-08"/>
        <filter val="C13-07"/>
        <filter val="C13-06"/>
        <filter val="C13-05"/>
        <filter val="C13-04"/>
        <filter val="C07-03"/>
        <filter val="C13-03"/>
        <filter val="C07-04"/>
        <filter val="C13-02"/>
        <filter val="C07-01"/>
        <filter val="C13-01"/>
        <filter val="C07-02"/>
        <filter val="C07-07"/>
        <filter val="C07-08"/>
        <filter val="C07-05"/>
        <filter val="C07-06"/>
        <filter val="C07-09"/>
        <filter val="C07-10"/>
        <filter val="C07-11"/>
        <filter val="C13-15"/>
        <filter val="C07-14"/>
        <filter val="C13-14"/>
        <filter val="C07-15"/>
        <filter val="C13-13"/>
        <filter val="C07-12"/>
        <filter val="C13-12"/>
        <filter val="C07-13"/>
        <filter val="C13-11"/>
        <filter val="C13-10"/>
        <filter val="C07-16"/>
        <filter val="C14-09"/>
        <filter val="C08-01"/>
        <filter val="C14-08"/>
        <filter val="C14-07"/>
        <filter val="C14-06"/>
        <filter val="C14-05"/>
        <filter val="C08-05"/>
        <filter val="C14-04"/>
        <filter val="C08-04"/>
        <filter val="C14-03"/>
        <filter val="C08-03"/>
        <filter val="C14-02"/>
        <filter val="C08-02"/>
        <filter val="C14-01"/>
        <filter val="C08-09"/>
        <filter val="C08-08"/>
        <filter val="C08-07"/>
        <filter val="C08-06"/>
        <filter val="C03-09"/>
        <filter val="C08-12"/>
        <filter val="C08-11"/>
        <filter val="C08-10"/>
        <filter val="C14-16"/>
        <filter val="C14-15"/>
        <filter val="C08-16"/>
        <filter val="C08-15"/>
        <filter val="C14-14"/>
        <filter val="C08-14"/>
        <filter val="C14-13"/>
        <filter val="C08-13"/>
        <filter val="C14-12"/>
        <filter val="C14-11"/>
        <filter val="C03-01"/>
        <filter val="C14-10"/>
        <filter val="C03-02"/>
        <filter val="C08-18"/>
        <filter val="C03-03"/>
        <filter val="C08-17"/>
        <filter val="C03-04"/>
        <filter val="C03-05"/>
        <filter val="C03-06"/>
        <filter val="C03-07"/>
        <filter val="C03-08"/>
        <filter val="C03-10"/>
        <filter val="C03-11"/>
        <filter val="C03-12"/>
        <filter val="C03-13"/>
        <filter val="C03-14"/>
        <filter val="C03-15"/>
        <filter val="C03-16"/>
        <filter val="C03-17"/>
        <filter val="C03-18"/>
        <filter val="C03-19"/>
        <filter val="C09-02"/>
        <filter val="C09-01"/>
        <filter val="C09-06"/>
        <filter val="C09-05"/>
        <filter val="C03-20"/>
        <filter val="C09-04"/>
        <filter val="C09-03"/>
        <filter val="C09-09"/>
        <filter val="C09-08"/>
        <filter val="C09-07"/>
        <filter val="C09-13"/>
        <filter val="C09-12"/>
        <filter val="C09-11"/>
        <filter val="C09-10"/>
        <filter val="C09-17"/>
        <filter val="C09-16"/>
        <filter val="C09-15"/>
        <filter val="C04-01"/>
        <filter val="C09-14"/>
        <filter val="C04-03"/>
        <filter val="C04-02"/>
        <filter val="C04-05"/>
        <filter val="C04-04"/>
        <filter val="C04-07"/>
        <filter val="C04-06"/>
        <filter val="C04-09"/>
        <filter val="C04-08"/>
        <filter val="C04-10"/>
        <filter val="C04-12"/>
        <filter val="C04-11"/>
        <filter val="C04-14"/>
        <filter val="C04-13"/>
        <filter val="C04-16"/>
        <filter val="C04-15"/>
        <filter val="C04-18"/>
        <filter val="C04-17"/>
        <filter val="C11-08"/>
        <filter val="C11-09"/>
        <filter val="C11-06"/>
        <filter val="C11-07"/>
        <filter val="C11-04"/>
        <filter val="C11-05"/>
        <filter val="C11-02"/>
        <filter val="C11-03"/>
        <filter val="C11-01"/>
        <filter val="C05-02"/>
        <filter val="C05-01"/>
        <filter val="C05-04"/>
        <filter val="C05-03"/>
        <filter val="C05-06"/>
        <filter val="C05-05"/>
        <filter val="C05-08"/>
        <filter val="C05-07"/>
        <filter val="C05-09"/>
        <filter val="C11-19"/>
        <filter val="C11-17"/>
        <filter val="C11-18"/>
        <filter val="C11-15"/>
        <filter val="C11-16"/>
        <filter val="C11-13"/>
        <filter val="C11-14"/>
        <filter val="C11-11"/>
        <filter val="C05-11"/>
        <filter val="C11-12"/>
        <filter val="C05-10"/>
        <filter val="C05-13"/>
        <filter val="C11-10"/>
        <filter val="C05-12"/>
        <filter val="C05-15"/>
        <filter val="C05-14"/>
        <filter val="C05-16"/>
        <filter val="C06-02"/>
        <filter val="C06-03"/>
        <filter val="C06-01"/>
        <filter val="C06-06"/>
        <filter val="C06-07"/>
        <filter val="C06-04"/>
        <filter val="C06-05"/>
        <filter val="C06-08"/>
        <filter val="C06-09"/>
        <filter val="C06-10"/>
        <filter val="C06-13"/>
        <filter val="C06-14"/>
        <filter val="C06-11"/>
        <filter val="C06-12"/>
        <filter val="C06-17"/>
        <filter val="C06-18"/>
        <filter val="C06-15"/>
        <filter val="C06-16"/>
        <filter val="C06-19"/>
      </filters>
    </filterColumn>
  </autoFilter>
  <mergeCells count="7">
    <mergeCell ref="A1:P1"/>
    <mergeCell ref="R1:AB1"/>
    <mergeCell ref="A2:P2"/>
    <mergeCell ref="R2:AB3"/>
    <mergeCell ref="A3:P3"/>
    <mergeCell ref="R22:AB22"/>
    <mergeCell ref="R30:AB34"/>
  </mergeCells>
  <conditionalFormatting sqref="I5:I266">
    <cfRule type="cellIs" dxfId="6" priority="1" operator="equal">
      <formula>"CORE 80/20"</formula>
    </cfRule>
  </conditionalFormatting>
  <conditionalFormatting sqref="A5:A266">
    <cfRule type="expression" dxfId="7" priority="2">
      <formula>$I5="CORE 80/20"</formula>
    </cfRule>
  </conditionalFormatting>
  <conditionalFormatting sqref="J5:J266">
    <cfRule type="expression" dxfId="0" priority="3">
      <formula>LEFT($J5,1)="A"</formula>
    </cfRule>
  </conditionalFormatting>
  <conditionalFormatting sqref="J5:J266">
    <cfRule type="expression" dxfId="7" priority="4">
      <formula>LEFT($J5,1)="B"</formula>
    </cfRule>
  </conditionalFormatting>
  <conditionalFormatting sqref="J5:J266">
    <cfRule type="expression" dxfId="8" priority="5">
      <formula>LEFT($J5,1)="D"</formula>
    </cfRule>
  </conditionalFormatting>
  <conditionalFormatting sqref="G5:G266">
    <cfRule type="cellIs" dxfId="9" priority="6" operator="equal">
      <formula>"P1"</formula>
    </cfRule>
  </conditionalFormatting>
  <conditionalFormatting sqref="F5:F266">
    <cfRule type="cellIs" dxfId="10" priority="7" operator="equal">
      <formula>"Hot"</formula>
    </cfRule>
  </conditionalFormatting>
  <conditionalFormatting sqref="L5:L266">
    <cfRule type="colorScale" priority="8">
      <colorScale>
        <cfvo type="formula" val="1"/>
        <cfvo type="max" val="0"/>
        <color rgb="FFFFFFFF"/>
        <color rgb="FFE3C27A"/>
      </colorScale>
    </cfRule>
  </conditionalFormatting>
  <conditionalFormatting sqref="AA5:AA19">
    <cfRule type="cellIs" dxfId="4" priority="9" operator="lessThanOrEqual">
      <formula>0.8</formula>
    </cfRule>
  </conditionalFormatting>
  <dataValidations>
    <dataValidation type="list" allowBlank="1" sqref="G5:G416">
      <formula1>"P1,P2,P3"</formula1>
    </dataValidation>
    <dataValidation type="list" allowBlank="1" sqref="H5:H416">
      <formula1>"Cao,TB,Thấp"</formula1>
    </dataValidation>
    <dataValidation type="list" allowBlank="1" sqref="I5:I416">
      <formula1>"CORE 80/20,—"</formula1>
    </dataValidation>
    <dataValidation type="decimal" allowBlank="1" sqref="V5:V19">
      <formula1>1.0</formula1>
      <formula2>3.0</formula2>
    </dataValidation>
    <dataValidation type="list" allowBlank="1" sqref="F5:F416">
      <formula1>"Cold,Warm,Hot"</formula1>
    </dataValidation>
    <dataValidation type="list" allowBlank="1" sqref="C5:C416">
      <formula1>"S1 · NHẬN BIẾT (Cold),S2 · TÌM HIỂU (Warm),S3 · CÂN NHẮC &amp; NỖI SỢ (Warm→Hot),S4 · THỰC HIỆN (Hot),S5 · TRẢI NGHIỆM &amp; HẬU PHẪU (Existing),S6 · GẮN BÓ &amp; MỞ RỘNG (LTV)"</formula1>
    </dataValidation>
    <dataValidation type="list" allowBlank="1" sqref="U5:U19">
      <formula1>"A · CORE 80/20,B · Đòn bẩy chuyển đổi,C · Uy tín &amp; giữ chân,D · Cửa vào rộng"</formula1>
    </dataValidation>
  </dataValidations>
  <printOptions/>
  <pageMargins bottom="1.0" footer="0.0" header="0.0" left="0.75" right="0.75" top="1.0"/>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outlineLevelCol="1"/>
  <cols>
    <col customWidth="1" min="1" max="1" width="3.0"/>
    <col customWidth="1" hidden="1" min="3" max="3" width="35.57"/>
    <col customWidth="1" hidden="1" min="4" max="4" width="43.14"/>
    <col collapsed="1" customWidth="1" min="5" max="5" width="83.29"/>
    <col hidden="1" min="6" max="14" width="14.43" outlineLevel="1"/>
    <col customWidth="1" hidden="1" min="15" max="15" width="39.29" outlineLevel="1"/>
    <col customWidth="1" hidden="1" min="16" max="16" width="18.29" outlineLevel="1"/>
    <col customWidth="1" hidden="1" min="17" max="17" width="35.71" outlineLevel="1"/>
  </cols>
  <sheetData>
    <row r="1">
      <c r="A1" s="1"/>
      <c r="B1" s="3" t="s">
        <v>3</v>
      </c>
      <c r="C1" s="3" t="s">
        <v>4</v>
      </c>
      <c r="D1" s="3" t="s">
        <v>5</v>
      </c>
      <c r="E1" s="6" t="s">
        <v>6</v>
      </c>
      <c r="F1" s="3" t="s">
        <v>8</v>
      </c>
      <c r="G1" s="3" t="s">
        <v>9</v>
      </c>
      <c r="H1" s="3" t="s">
        <v>11</v>
      </c>
      <c r="I1" s="3" t="s">
        <v>12</v>
      </c>
      <c r="J1" s="9" t="s">
        <v>14</v>
      </c>
      <c r="K1" s="9" t="s">
        <v>16</v>
      </c>
      <c r="L1" s="9" t="s">
        <v>17</v>
      </c>
      <c r="M1" s="9" t="s">
        <v>18</v>
      </c>
      <c r="N1" s="9" t="s">
        <v>20</v>
      </c>
      <c r="O1" s="3" t="s">
        <v>23</v>
      </c>
      <c r="P1" s="3" t="s">
        <v>25</v>
      </c>
      <c r="Q1" s="3" t="s">
        <v>27</v>
      </c>
      <c r="R1" s="9"/>
      <c r="S1" s="9" t="s">
        <v>32</v>
      </c>
      <c r="T1" s="9" t="s">
        <v>34</v>
      </c>
      <c r="U1" s="9" t="s">
        <v>36</v>
      </c>
      <c r="V1" s="3" t="s">
        <v>38</v>
      </c>
      <c r="W1" s="13"/>
      <c r="X1" s="13"/>
      <c r="Y1" s="13"/>
      <c r="Z1" s="13"/>
      <c r="AA1" s="13"/>
    </row>
    <row r="2">
      <c r="A2" s="16"/>
      <c r="B2" s="18"/>
      <c r="C2" s="17"/>
      <c r="D2" s="17"/>
      <c r="E2" s="20"/>
      <c r="F2" s="21"/>
      <c r="G2" s="21"/>
      <c r="H2" s="21"/>
      <c r="I2" s="21"/>
      <c r="J2" s="21"/>
      <c r="K2" s="17"/>
      <c r="L2" s="21"/>
      <c r="M2" s="21"/>
      <c r="N2" s="23"/>
      <c r="O2" s="17"/>
      <c r="P2" s="17"/>
      <c r="Q2" s="17"/>
      <c r="R2" s="25" t="s">
        <v>60</v>
      </c>
      <c r="S2" s="29">
        <f t="shared" ref="S2:U2" si="1">COUNTIFS(S3:S72,"yes")</f>
        <v>19</v>
      </c>
      <c r="T2" s="29">
        <f t="shared" si="1"/>
        <v>33</v>
      </c>
      <c r="U2" s="29">
        <f t="shared" si="1"/>
        <v>22</v>
      </c>
      <c r="X2" s="25" t="s">
        <v>60</v>
      </c>
      <c r="Y2" s="25" t="s">
        <v>60</v>
      </c>
    </row>
    <row r="3">
      <c r="A3" s="31">
        <v>4.0</v>
      </c>
      <c r="B3" s="32" t="s">
        <v>77</v>
      </c>
      <c r="C3" s="28" t="s">
        <v>79</v>
      </c>
      <c r="D3" s="28" t="s">
        <v>80</v>
      </c>
      <c r="E3" s="33" t="s">
        <v>81</v>
      </c>
      <c r="F3" s="30" t="s">
        <v>82</v>
      </c>
      <c r="G3" s="30" t="s">
        <v>83</v>
      </c>
      <c r="H3" s="30" t="s">
        <v>85</v>
      </c>
      <c r="I3" s="30" t="s">
        <v>88</v>
      </c>
      <c r="J3" s="30" t="s">
        <v>91</v>
      </c>
      <c r="K3" s="28" t="str">
        <f t="shared" ref="K3:K72" si="2">IFERROR(INDEX($V$6:$V$20,MATCH(LEFT(C3,3),$U$6:$U$20,0)),"")</f>
        <v/>
      </c>
      <c r="L3" s="30">
        <v>4.0</v>
      </c>
      <c r="M3" s="30">
        <f t="shared" ref="M3:M72" si="3">IF(I3="Cao",3,IF(I3="TB",2,1))*IF(G3="Hot",3,IF(G3="Warm",2,1))*(4-VALUE(RIGHT(H3,1)))*IFERROR(INDEX($W$6:$W$20,MATCH(LEFT(C3,3),$U$6:$U$20,0)),1)</f>
        <v>27</v>
      </c>
      <c r="N3" s="42" t="s">
        <v>107</v>
      </c>
      <c r="O3" s="28" t="s">
        <v>108</v>
      </c>
      <c r="P3" s="28" t="s">
        <v>109</v>
      </c>
      <c r="Q3" s="28" t="s">
        <v>110</v>
      </c>
      <c r="R3" s="43" t="str">
        <f t="shared" ref="R3:R72" si="4">VLOOKUP(E3,$X:$Y,2,0)</f>
        <v>#N/A</v>
      </c>
      <c r="S3" s="43"/>
      <c r="T3" s="43"/>
      <c r="U3" s="43"/>
    </row>
    <row r="4">
      <c r="A4" s="31">
        <v>12.0</v>
      </c>
      <c r="B4" s="32" t="s">
        <v>122</v>
      </c>
      <c r="C4" s="28" t="s">
        <v>79</v>
      </c>
      <c r="D4" s="28" t="s">
        <v>80</v>
      </c>
      <c r="E4" s="33" t="s">
        <v>125</v>
      </c>
      <c r="F4" s="30" t="s">
        <v>126</v>
      </c>
      <c r="G4" s="30" t="s">
        <v>83</v>
      </c>
      <c r="H4" s="30" t="s">
        <v>85</v>
      </c>
      <c r="I4" s="30" t="s">
        <v>88</v>
      </c>
      <c r="J4" s="30" t="s">
        <v>91</v>
      </c>
      <c r="K4" s="28" t="str">
        <f t="shared" si="2"/>
        <v/>
      </c>
      <c r="L4" s="30">
        <v>12.0</v>
      </c>
      <c r="M4" s="30">
        <f t="shared" si="3"/>
        <v>27</v>
      </c>
      <c r="N4" s="42" t="s">
        <v>129</v>
      </c>
      <c r="O4" s="28" t="s">
        <v>132</v>
      </c>
      <c r="P4" s="28" t="s">
        <v>109</v>
      </c>
      <c r="Q4" s="28" t="s">
        <v>136</v>
      </c>
      <c r="R4" s="43" t="str">
        <f t="shared" si="4"/>
        <v>#N/A</v>
      </c>
      <c r="S4" s="25" t="s">
        <v>139</v>
      </c>
      <c r="T4" s="25" t="s">
        <v>139</v>
      </c>
      <c r="U4" s="25" t="s">
        <v>139</v>
      </c>
    </row>
    <row r="5">
      <c r="A5" s="46">
        <v>9.0</v>
      </c>
      <c r="B5" s="18" t="s">
        <v>141</v>
      </c>
      <c r="C5" s="17" t="s">
        <v>79</v>
      </c>
      <c r="D5" s="17" t="s">
        <v>80</v>
      </c>
      <c r="E5" s="48" t="s">
        <v>142</v>
      </c>
      <c r="F5" s="21" t="s">
        <v>143</v>
      </c>
      <c r="G5" s="21" t="s">
        <v>83</v>
      </c>
      <c r="H5" s="21" t="s">
        <v>85</v>
      </c>
      <c r="I5" s="21" t="s">
        <v>88</v>
      </c>
      <c r="J5" s="21" t="s">
        <v>91</v>
      </c>
      <c r="K5" s="17" t="str">
        <f t="shared" si="2"/>
        <v/>
      </c>
      <c r="L5" s="21">
        <v>9.0</v>
      </c>
      <c r="M5" s="21">
        <f t="shared" si="3"/>
        <v>27</v>
      </c>
      <c r="N5" s="23" t="s">
        <v>148</v>
      </c>
      <c r="O5" s="17" t="s">
        <v>150</v>
      </c>
      <c r="P5" s="17" t="s">
        <v>109</v>
      </c>
      <c r="Q5" s="17" t="s">
        <v>151</v>
      </c>
      <c r="R5" s="43" t="str">
        <f t="shared" si="4"/>
        <v>#N/A</v>
      </c>
      <c r="S5" s="43"/>
      <c r="T5" s="43"/>
      <c r="U5" s="43"/>
    </row>
    <row r="6">
      <c r="A6" s="46">
        <v>7.0</v>
      </c>
      <c r="B6" s="18" t="s">
        <v>155</v>
      </c>
      <c r="C6" s="17" t="s">
        <v>79</v>
      </c>
      <c r="D6" s="17" t="s">
        <v>80</v>
      </c>
      <c r="E6" s="48" t="s">
        <v>159</v>
      </c>
      <c r="F6" s="21" t="s">
        <v>157</v>
      </c>
      <c r="G6" s="21" t="s">
        <v>83</v>
      </c>
      <c r="H6" s="21" t="s">
        <v>85</v>
      </c>
      <c r="I6" s="21" t="s">
        <v>88</v>
      </c>
      <c r="J6" s="21" t="s">
        <v>91</v>
      </c>
      <c r="K6" s="17" t="str">
        <f t="shared" si="2"/>
        <v/>
      </c>
      <c r="L6" s="21">
        <v>7.0</v>
      </c>
      <c r="M6" s="21">
        <f t="shared" si="3"/>
        <v>27</v>
      </c>
      <c r="N6" s="23" t="s">
        <v>169</v>
      </c>
      <c r="O6" s="17" t="s">
        <v>172</v>
      </c>
      <c r="P6" s="17" t="s">
        <v>109</v>
      </c>
      <c r="Q6" s="17" t="s">
        <v>151</v>
      </c>
      <c r="R6" s="43" t="str">
        <f t="shared" si="4"/>
        <v>#N/A</v>
      </c>
      <c r="S6" s="43"/>
      <c r="T6" s="43"/>
      <c r="U6" s="43"/>
    </row>
    <row r="7">
      <c r="A7" s="46">
        <v>31.0</v>
      </c>
      <c r="B7" s="18" t="s">
        <v>179</v>
      </c>
      <c r="C7" s="17" t="s">
        <v>181</v>
      </c>
      <c r="D7" s="17" t="s">
        <v>80</v>
      </c>
      <c r="E7" s="48" t="s">
        <v>183</v>
      </c>
      <c r="F7" s="21" t="s">
        <v>185</v>
      </c>
      <c r="G7" s="21" t="s">
        <v>83</v>
      </c>
      <c r="H7" s="21" t="s">
        <v>85</v>
      </c>
      <c r="I7" s="21" t="s">
        <v>88</v>
      </c>
      <c r="J7" s="21" t="s">
        <v>91</v>
      </c>
      <c r="K7" s="17" t="str">
        <f t="shared" si="2"/>
        <v/>
      </c>
      <c r="L7" s="21">
        <v>31.0</v>
      </c>
      <c r="M7" s="21">
        <f t="shared" si="3"/>
        <v>27</v>
      </c>
      <c r="N7" s="23" t="s">
        <v>194</v>
      </c>
      <c r="O7" s="17" t="s">
        <v>197</v>
      </c>
      <c r="P7" s="17" t="s">
        <v>199</v>
      </c>
      <c r="Q7" s="17" t="s">
        <v>203</v>
      </c>
      <c r="R7" s="43" t="str">
        <f t="shared" si="4"/>
        <v>#N/A</v>
      </c>
      <c r="S7" s="25" t="s">
        <v>139</v>
      </c>
      <c r="T7" s="25" t="s">
        <v>139</v>
      </c>
      <c r="U7" s="25" t="s">
        <v>139</v>
      </c>
    </row>
    <row r="8">
      <c r="A8" s="31">
        <v>20.0</v>
      </c>
      <c r="B8" s="32" t="s">
        <v>208</v>
      </c>
      <c r="C8" s="28" t="s">
        <v>211</v>
      </c>
      <c r="D8" s="28" t="s">
        <v>80</v>
      </c>
      <c r="E8" s="33" t="s">
        <v>214</v>
      </c>
      <c r="F8" s="30" t="s">
        <v>215</v>
      </c>
      <c r="G8" s="30" t="s">
        <v>83</v>
      </c>
      <c r="H8" s="30" t="s">
        <v>85</v>
      </c>
      <c r="I8" s="30" t="s">
        <v>88</v>
      </c>
      <c r="J8" s="30" t="s">
        <v>91</v>
      </c>
      <c r="K8" s="28" t="str">
        <f t="shared" si="2"/>
        <v/>
      </c>
      <c r="L8" s="30">
        <v>20.0</v>
      </c>
      <c r="M8" s="30">
        <f t="shared" si="3"/>
        <v>27</v>
      </c>
      <c r="N8" s="42" t="s">
        <v>226</v>
      </c>
      <c r="O8" s="28" t="s">
        <v>228</v>
      </c>
      <c r="P8" s="28" t="s">
        <v>199</v>
      </c>
      <c r="Q8" s="28" t="s">
        <v>136</v>
      </c>
      <c r="R8" s="43" t="str">
        <f t="shared" si="4"/>
        <v>#N/A</v>
      </c>
      <c r="S8" s="43"/>
      <c r="T8" s="43"/>
      <c r="U8" s="25" t="s">
        <v>139</v>
      </c>
    </row>
    <row r="9">
      <c r="A9" s="31">
        <v>16.0</v>
      </c>
      <c r="B9" s="32" t="s">
        <v>233</v>
      </c>
      <c r="C9" s="28" t="s">
        <v>211</v>
      </c>
      <c r="D9" s="28" t="s">
        <v>80</v>
      </c>
      <c r="E9" s="33" t="s">
        <v>237</v>
      </c>
      <c r="F9" s="30" t="s">
        <v>87</v>
      </c>
      <c r="G9" s="30" t="s">
        <v>83</v>
      </c>
      <c r="H9" s="30" t="s">
        <v>85</v>
      </c>
      <c r="I9" s="30" t="s">
        <v>88</v>
      </c>
      <c r="J9" s="30" t="s">
        <v>91</v>
      </c>
      <c r="K9" s="28" t="str">
        <f t="shared" si="2"/>
        <v/>
      </c>
      <c r="L9" s="30">
        <v>16.0</v>
      </c>
      <c r="M9" s="30">
        <f t="shared" si="3"/>
        <v>27</v>
      </c>
      <c r="N9" s="42" t="s">
        <v>244</v>
      </c>
      <c r="O9" s="28" t="s">
        <v>246</v>
      </c>
      <c r="P9" s="28" t="s">
        <v>247</v>
      </c>
      <c r="Q9" s="28" t="s">
        <v>151</v>
      </c>
      <c r="R9" s="43" t="str">
        <f t="shared" si="4"/>
        <v>#N/A</v>
      </c>
      <c r="S9" s="25" t="s">
        <v>139</v>
      </c>
      <c r="T9" s="25" t="s">
        <v>139</v>
      </c>
      <c r="U9" s="43"/>
    </row>
    <row r="10">
      <c r="A10" s="46">
        <v>15.0</v>
      </c>
      <c r="B10" s="18" t="s">
        <v>249</v>
      </c>
      <c r="C10" s="17" t="s">
        <v>79</v>
      </c>
      <c r="D10" s="17" t="s">
        <v>80</v>
      </c>
      <c r="E10" s="48" t="s">
        <v>250</v>
      </c>
      <c r="F10" s="21" t="s">
        <v>215</v>
      </c>
      <c r="G10" s="21" t="s">
        <v>83</v>
      </c>
      <c r="H10" s="21" t="s">
        <v>85</v>
      </c>
      <c r="I10" s="21" t="s">
        <v>88</v>
      </c>
      <c r="J10" s="21" t="s">
        <v>91</v>
      </c>
      <c r="K10" s="17" t="str">
        <f t="shared" si="2"/>
        <v/>
      </c>
      <c r="L10" s="21">
        <v>15.0</v>
      </c>
      <c r="M10" s="21">
        <f t="shared" si="3"/>
        <v>27</v>
      </c>
      <c r="N10" s="23" t="s">
        <v>253</v>
      </c>
      <c r="O10" s="17" t="s">
        <v>254</v>
      </c>
      <c r="P10" s="17" t="s">
        <v>255</v>
      </c>
      <c r="Q10" s="17" t="s">
        <v>151</v>
      </c>
      <c r="R10" s="43" t="str">
        <f t="shared" si="4"/>
        <v>#N/A</v>
      </c>
      <c r="S10" s="43"/>
      <c r="T10" s="43"/>
      <c r="U10" s="43"/>
    </row>
    <row r="11">
      <c r="A11" s="31">
        <v>10.0</v>
      </c>
      <c r="B11" s="32" t="s">
        <v>257</v>
      </c>
      <c r="C11" s="28" t="s">
        <v>79</v>
      </c>
      <c r="D11" s="28" t="s">
        <v>80</v>
      </c>
      <c r="E11" s="33" t="s">
        <v>261</v>
      </c>
      <c r="F11" s="30" t="s">
        <v>262</v>
      </c>
      <c r="G11" s="30" t="s">
        <v>83</v>
      </c>
      <c r="H11" s="30" t="s">
        <v>85</v>
      </c>
      <c r="I11" s="30" t="s">
        <v>88</v>
      </c>
      <c r="J11" s="30" t="s">
        <v>91</v>
      </c>
      <c r="K11" s="28" t="str">
        <f t="shared" si="2"/>
        <v/>
      </c>
      <c r="L11" s="30">
        <v>10.0</v>
      </c>
      <c r="M11" s="30">
        <f t="shared" si="3"/>
        <v>27</v>
      </c>
      <c r="N11" s="42" t="s">
        <v>266</v>
      </c>
      <c r="O11" s="28" t="s">
        <v>267</v>
      </c>
      <c r="P11" s="28" t="s">
        <v>109</v>
      </c>
      <c r="Q11" s="28" t="s">
        <v>151</v>
      </c>
      <c r="R11" s="43" t="str">
        <f t="shared" si="4"/>
        <v>#N/A</v>
      </c>
      <c r="S11" s="43"/>
      <c r="T11" s="43"/>
      <c r="U11" s="43"/>
    </row>
    <row r="12">
      <c r="A12" s="31">
        <v>14.0</v>
      </c>
      <c r="B12" s="32" t="s">
        <v>271</v>
      </c>
      <c r="C12" s="28" t="s">
        <v>79</v>
      </c>
      <c r="D12" s="28" t="s">
        <v>80</v>
      </c>
      <c r="E12" s="33" t="s">
        <v>274</v>
      </c>
      <c r="F12" s="30" t="s">
        <v>262</v>
      </c>
      <c r="G12" s="30" t="s">
        <v>83</v>
      </c>
      <c r="H12" s="30" t="s">
        <v>85</v>
      </c>
      <c r="I12" s="30" t="s">
        <v>88</v>
      </c>
      <c r="J12" s="30" t="s">
        <v>91</v>
      </c>
      <c r="K12" s="28" t="str">
        <f t="shared" si="2"/>
        <v/>
      </c>
      <c r="L12" s="30">
        <v>14.0</v>
      </c>
      <c r="M12" s="30">
        <f t="shared" si="3"/>
        <v>27</v>
      </c>
      <c r="N12" s="42" t="s">
        <v>277</v>
      </c>
      <c r="O12" s="28" t="s">
        <v>279</v>
      </c>
      <c r="P12" s="28" t="s">
        <v>109</v>
      </c>
      <c r="Q12" s="28" t="s">
        <v>151</v>
      </c>
      <c r="R12" s="43" t="str">
        <f t="shared" si="4"/>
        <v>#N/A</v>
      </c>
      <c r="S12" s="43"/>
      <c r="T12" s="43"/>
      <c r="U12" s="43"/>
    </row>
    <row r="13">
      <c r="A13" s="31">
        <v>2.0</v>
      </c>
      <c r="B13" s="32" t="s">
        <v>147</v>
      </c>
      <c r="C13" s="28" t="s">
        <v>79</v>
      </c>
      <c r="D13" s="28" t="s">
        <v>80</v>
      </c>
      <c r="E13" s="33" t="s">
        <v>281</v>
      </c>
      <c r="F13" s="30" t="s">
        <v>157</v>
      </c>
      <c r="G13" s="30" t="s">
        <v>83</v>
      </c>
      <c r="H13" s="30" t="s">
        <v>85</v>
      </c>
      <c r="I13" s="30" t="s">
        <v>88</v>
      </c>
      <c r="J13" s="30" t="s">
        <v>91</v>
      </c>
      <c r="K13" s="28" t="str">
        <f t="shared" si="2"/>
        <v/>
      </c>
      <c r="L13" s="30">
        <v>2.0</v>
      </c>
      <c r="M13" s="30">
        <f t="shared" si="3"/>
        <v>27</v>
      </c>
      <c r="N13" s="42" t="s">
        <v>167</v>
      </c>
      <c r="O13" s="28" t="s">
        <v>170</v>
      </c>
      <c r="P13" s="28" t="s">
        <v>109</v>
      </c>
      <c r="Q13" s="28" t="s">
        <v>151</v>
      </c>
      <c r="R13" s="43" t="str">
        <f t="shared" si="4"/>
        <v>#N/A</v>
      </c>
      <c r="S13" s="43"/>
      <c r="T13" s="43"/>
      <c r="U13" s="43"/>
    </row>
    <row r="14">
      <c r="A14" s="31">
        <v>6.0</v>
      </c>
      <c r="B14" s="32" t="s">
        <v>278</v>
      </c>
      <c r="C14" s="28" t="s">
        <v>79</v>
      </c>
      <c r="D14" s="28" t="s">
        <v>80</v>
      </c>
      <c r="E14" s="33" t="s">
        <v>286</v>
      </c>
      <c r="F14" s="30" t="s">
        <v>143</v>
      </c>
      <c r="G14" s="30" t="s">
        <v>83</v>
      </c>
      <c r="H14" s="30" t="s">
        <v>85</v>
      </c>
      <c r="I14" s="30" t="s">
        <v>88</v>
      </c>
      <c r="J14" s="30" t="s">
        <v>91</v>
      </c>
      <c r="K14" s="28" t="str">
        <f t="shared" si="2"/>
        <v/>
      </c>
      <c r="L14" s="30">
        <v>6.0</v>
      </c>
      <c r="M14" s="30">
        <f t="shared" si="3"/>
        <v>27</v>
      </c>
      <c r="N14" s="42" t="s">
        <v>282</v>
      </c>
      <c r="O14" s="28" t="s">
        <v>283</v>
      </c>
      <c r="P14" s="28" t="s">
        <v>109</v>
      </c>
      <c r="Q14" s="28" t="s">
        <v>151</v>
      </c>
      <c r="R14" s="43" t="str">
        <f t="shared" si="4"/>
        <v>#N/A</v>
      </c>
      <c r="S14" s="43"/>
      <c r="T14" s="25" t="s">
        <v>139</v>
      </c>
      <c r="U14" s="43"/>
    </row>
    <row r="15">
      <c r="A15" s="46">
        <v>17.0</v>
      </c>
      <c r="B15" s="18" t="s">
        <v>297</v>
      </c>
      <c r="C15" s="17" t="s">
        <v>211</v>
      </c>
      <c r="D15" s="17" t="s">
        <v>80</v>
      </c>
      <c r="E15" s="48" t="s">
        <v>301</v>
      </c>
      <c r="F15" s="21" t="s">
        <v>303</v>
      </c>
      <c r="G15" s="21" t="s">
        <v>83</v>
      </c>
      <c r="H15" s="21" t="s">
        <v>85</v>
      </c>
      <c r="I15" s="21" t="s">
        <v>88</v>
      </c>
      <c r="J15" s="21" t="s">
        <v>91</v>
      </c>
      <c r="K15" s="17" t="str">
        <f t="shared" si="2"/>
        <v/>
      </c>
      <c r="L15" s="21">
        <v>17.0</v>
      </c>
      <c r="M15" s="21">
        <f t="shared" si="3"/>
        <v>27</v>
      </c>
      <c r="N15" s="23" t="s">
        <v>308</v>
      </c>
      <c r="O15" s="17" t="s">
        <v>310</v>
      </c>
      <c r="P15" s="17" t="s">
        <v>199</v>
      </c>
      <c r="Q15" s="17" t="s">
        <v>151</v>
      </c>
      <c r="R15" s="43" t="str">
        <f t="shared" si="4"/>
        <v>#N/A</v>
      </c>
      <c r="S15" s="43"/>
      <c r="T15" s="43"/>
      <c r="U15" s="43"/>
    </row>
    <row r="16">
      <c r="A16" s="46">
        <v>13.0</v>
      </c>
      <c r="B16" s="18" t="s">
        <v>313</v>
      </c>
      <c r="C16" s="17" t="s">
        <v>79</v>
      </c>
      <c r="D16" s="17" t="s">
        <v>80</v>
      </c>
      <c r="E16" s="48" t="s">
        <v>314</v>
      </c>
      <c r="F16" s="21" t="s">
        <v>315</v>
      </c>
      <c r="G16" s="21" t="s">
        <v>83</v>
      </c>
      <c r="H16" s="21" t="s">
        <v>85</v>
      </c>
      <c r="I16" s="21" t="s">
        <v>88</v>
      </c>
      <c r="J16" s="21" t="s">
        <v>91</v>
      </c>
      <c r="K16" s="17" t="str">
        <f t="shared" si="2"/>
        <v/>
      </c>
      <c r="L16" s="21">
        <v>13.0</v>
      </c>
      <c r="M16" s="21">
        <f t="shared" si="3"/>
        <v>27</v>
      </c>
      <c r="N16" s="23" t="s">
        <v>321</v>
      </c>
      <c r="O16" s="17" t="s">
        <v>323</v>
      </c>
      <c r="P16" s="17" t="s">
        <v>109</v>
      </c>
      <c r="Q16" s="17" t="s">
        <v>324</v>
      </c>
      <c r="R16" s="43" t="str">
        <f t="shared" si="4"/>
        <v>#N/A</v>
      </c>
      <c r="S16" s="43"/>
      <c r="T16" s="25" t="s">
        <v>139</v>
      </c>
      <c r="U16" s="43"/>
    </row>
    <row r="17">
      <c r="A17" s="31">
        <v>8.0</v>
      </c>
      <c r="B17" s="32" t="s">
        <v>311</v>
      </c>
      <c r="C17" s="28" t="s">
        <v>79</v>
      </c>
      <c r="D17" s="28" t="s">
        <v>80</v>
      </c>
      <c r="E17" s="33" t="s">
        <v>329</v>
      </c>
      <c r="F17" s="30" t="s">
        <v>143</v>
      </c>
      <c r="G17" s="30" t="s">
        <v>83</v>
      </c>
      <c r="H17" s="30" t="s">
        <v>85</v>
      </c>
      <c r="I17" s="30" t="s">
        <v>88</v>
      </c>
      <c r="J17" s="30" t="s">
        <v>91</v>
      </c>
      <c r="K17" s="28" t="str">
        <f t="shared" si="2"/>
        <v/>
      </c>
      <c r="L17" s="30">
        <v>8.0</v>
      </c>
      <c r="M17" s="30">
        <f t="shared" si="3"/>
        <v>27</v>
      </c>
      <c r="N17" s="42" t="s">
        <v>316</v>
      </c>
      <c r="O17" s="28" t="s">
        <v>318</v>
      </c>
      <c r="P17" s="28" t="s">
        <v>109</v>
      </c>
      <c r="Q17" s="28" t="s">
        <v>110</v>
      </c>
      <c r="R17" s="43" t="str">
        <f t="shared" si="4"/>
        <v>#N/A</v>
      </c>
      <c r="S17" s="43"/>
      <c r="T17" s="43"/>
      <c r="U17" s="43"/>
    </row>
    <row r="18">
      <c r="A18" s="31">
        <v>44.0</v>
      </c>
      <c r="B18" s="32" t="s">
        <v>340</v>
      </c>
      <c r="C18" s="28" t="s">
        <v>230</v>
      </c>
      <c r="D18" s="28" t="s">
        <v>80</v>
      </c>
      <c r="E18" s="33" t="s">
        <v>342</v>
      </c>
      <c r="F18" s="30" t="s">
        <v>343</v>
      </c>
      <c r="G18" s="30" t="s">
        <v>83</v>
      </c>
      <c r="H18" s="30" t="s">
        <v>85</v>
      </c>
      <c r="I18" s="30" t="s">
        <v>88</v>
      </c>
      <c r="J18" s="30" t="s">
        <v>91</v>
      </c>
      <c r="K18" s="28" t="str">
        <f t="shared" si="2"/>
        <v/>
      </c>
      <c r="L18" s="30">
        <v>44.0</v>
      </c>
      <c r="M18" s="30">
        <f t="shared" si="3"/>
        <v>27</v>
      </c>
      <c r="N18" s="42" t="s">
        <v>344</v>
      </c>
      <c r="O18" s="28" t="s">
        <v>346</v>
      </c>
      <c r="P18" s="28" t="s">
        <v>347</v>
      </c>
      <c r="Q18" s="28" t="s">
        <v>151</v>
      </c>
      <c r="R18" s="43" t="str">
        <f t="shared" si="4"/>
        <v>#N/A</v>
      </c>
      <c r="S18" s="43"/>
      <c r="T18" s="43"/>
      <c r="U18" s="25" t="s">
        <v>139</v>
      </c>
    </row>
    <row r="19">
      <c r="A19" s="31">
        <v>34.0</v>
      </c>
      <c r="B19" s="32" t="s">
        <v>349</v>
      </c>
      <c r="C19" s="28" t="s">
        <v>181</v>
      </c>
      <c r="D19" s="28" t="s">
        <v>80</v>
      </c>
      <c r="E19" s="33" t="s">
        <v>351</v>
      </c>
      <c r="F19" s="30" t="s">
        <v>185</v>
      </c>
      <c r="G19" s="30" t="s">
        <v>83</v>
      </c>
      <c r="H19" s="30" t="s">
        <v>85</v>
      </c>
      <c r="I19" s="30" t="s">
        <v>88</v>
      </c>
      <c r="J19" s="30" t="s">
        <v>91</v>
      </c>
      <c r="K19" s="28" t="str">
        <f t="shared" si="2"/>
        <v/>
      </c>
      <c r="L19" s="30">
        <v>34.0</v>
      </c>
      <c r="M19" s="30">
        <f t="shared" si="3"/>
        <v>27</v>
      </c>
      <c r="N19" s="42" t="s">
        <v>352</v>
      </c>
      <c r="O19" s="28" t="s">
        <v>353</v>
      </c>
      <c r="P19" s="28" t="s">
        <v>355</v>
      </c>
      <c r="Q19" s="28" t="s">
        <v>357</v>
      </c>
      <c r="R19" s="43" t="str">
        <f t="shared" si="4"/>
        <v>#N/A</v>
      </c>
      <c r="S19" s="25" t="s">
        <v>139</v>
      </c>
      <c r="T19" s="25" t="s">
        <v>139</v>
      </c>
      <c r="U19" s="25" t="s">
        <v>139</v>
      </c>
    </row>
    <row r="20">
      <c r="A20" s="46">
        <v>3.0</v>
      </c>
      <c r="B20" s="18" t="s">
        <v>204</v>
      </c>
      <c r="C20" s="17" t="s">
        <v>79</v>
      </c>
      <c r="D20" s="17" t="s">
        <v>80</v>
      </c>
      <c r="E20" s="48" t="s">
        <v>358</v>
      </c>
      <c r="F20" s="21" t="s">
        <v>143</v>
      </c>
      <c r="G20" s="21" t="s">
        <v>83</v>
      </c>
      <c r="H20" s="21" t="s">
        <v>85</v>
      </c>
      <c r="I20" s="21" t="s">
        <v>88</v>
      </c>
      <c r="J20" s="21" t="s">
        <v>91</v>
      </c>
      <c r="K20" s="17" t="str">
        <f t="shared" si="2"/>
        <v/>
      </c>
      <c r="L20" s="21">
        <v>3.0</v>
      </c>
      <c r="M20" s="21">
        <f t="shared" si="3"/>
        <v>27</v>
      </c>
      <c r="N20" s="23" t="s">
        <v>221</v>
      </c>
      <c r="O20" s="17" t="s">
        <v>224</v>
      </c>
      <c r="P20" s="17" t="s">
        <v>109</v>
      </c>
      <c r="Q20" s="17" t="s">
        <v>151</v>
      </c>
      <c r="R20" s="43" t="str">
        <f t="shared" si="4"/>
        <v>#N/A</v>
      </c>
      <c r="S20" s="43"/>
      <c r="T20" s="25" t="s">
        <v>139</v>
      </c>
      <c r="U20" s="25" t="s">
        <v>139</v>
      </c>
    </row>
    <row r="21">
      <c r="A21" s="31">
        <v>18.0</v>
      </c>
      <c r="B21" s="32" t="s">
        <v>368</v>
      </c>
      <c r="C21" s="28" t="s">
        <v>211</v>
      </c>
      <c r="D21" s="28" t="s">
        <v>80</v>
      </c>
      <c r="E21" s="33" t="s">
        <v>369</v>
      </c>
      <c r="F21" s="30" t="s">
        <v>303</v>
      </c>
      <c r="G21" s="30" t="s">
        <v>83</v>
      </c>
      <c r="H21" s="30" t="s">
        <v>85</v>
      </c>
      <c r="I21" s="30" t="s">
        <v>88</v>
      </c>
      <c r="J21" s="30" t="s">
        <v>91</v>
      </c>
      <c r="K21" s="28" t="str">
        <f t="shared" si="2"/>
        <v/>
      </c>
      <c r="L21" s="30">
        <v>18.0</v>
      </c>
      <c r="M21" s="30">
        <f t="shared" si="3"/>
        <v>27</v>
      </c>
      <c r="N21" s="42" t="s">
        <v>376</v>
      </c>
      <c r="O21" s="28" t="s">
        <v>378</v>
      </c>
      <c r="P21" s="28" t="s">
        <v>355</v>
      </c>
      <c r="Q21" s="28" t="s">
        <v>357</v>
      </c>
      <c r="R21" s="43" t="str">
        <f t="shared" si="4"/>
        <v>#N/A</v>
      </c>
      <c r="S21" s="43"/>
      <c r="T21" s="43"/>
      <c r="U21" s="25" t="s">
        <v>139</v>
      </c>
    </row>
    <row r="22">
      <c r="A22" s="46">
        <v>19.0</v>
      </c>
      <c r="B22" s="18" t="s">
        <v>384</v>
      </c>
      <c r="C22" s="17" t="s">
        <v>211</v>
      </c>
      <c r="D22" s="17" t="s">
        <v>80</v>
      </c>
      <c r="E22" s="48" t="s">
        <v>390</v>
      </c>
      <c r="F22" s="21" t="s">
        <v>185</v>
      </c>
      <c r="G22" s="21" t="s">
        <v>83</v>
      </c>
      <c r="H22" s="21" t="s">
        <v>85</v>
      </c>
      <c r="I22" s="21" t="s">
        <v>88</v>
      </c>
      <c r="J22" s="21" t="s">
        <v>91</v>
      </c>
      <c r="K22" s="17" t="str">
        <f t="shared" si="2"/>
        <v/>
      </c>
      <c r="L22" s="21">
        <v>19.0</v>
      </c>
      <c r="M22" s="21">
        <f t="shared" si="3"/>
        <v>27</v>
      </c>
      <c r="N22" s="23" t="s">
        <v>396</v>
      </c>
      <c r="O22" s="17" t="s">
        <v>397</v>
      </c>
      <c r="P22" s="17" t="s">
        <v>355</v>
      </c>
      <c r="Q22" s="17" t="s">
        <v>357</v>
      </c>
      <c r="R22" s="43" t="str">
        <f t="shared" si="4"/>
        <v>#N/A</v>
      </c>
      <c r="S22" s="25" t="s">
        <v>139</v>
      </c>
      <c r="T22" s="43"/>
      <c r="U22" s="43"/>
    </row>
    <row r="23">
      <c r="A23" s="46">
        <v>35.0</v>
      </c>
      <c r="B23" s="18" t="s">
        <v>399</v>
      </c>
      <c r="C23" s="17" t="s">
        <v>181</v>
      </c>
      <c r="D23" s="17" t="s">
        <v>80</v>
      </c>
      <c r="E23" s="48" t="s">
        <v>401</v>
      </c>
      <c r="F23" s="21" t="s">
        <v>185</v>
      </c>
      <c r="G23" s="21" t="s">
        <v>83</v>
      </c>
      <c r="H23" s="21" t="s">
        <v>85</v>
      </c>
      <c r="I23" s="21" t="s">
        <v>88</v>
      </c>
      <c r="J23" s="21" t="s">
        <v>91</v>
      </c>
      <c r="K23" s="17" t="str">
        <f t="shared" si="2"/>
        <v/>
      </c>
      <c r="L23" s="21">
        <v>35.0</v>
      </c>
      <c r="M23" s="21">
        <f t="shared" si="3"/>
        <v>27</v>
      </c>
      <c r="N23" s="23" t="s">
        <v>407</v>
      </c>
      <c r="O23" s="17" t="s">
        <v>408</v>
      </c>
      <c r="P23" s="17" t="s">
        <v>355</v>
      </c>
      <c r="Q23" s="17" t="s">
        <v>409</v>
      </c>
      <c r="R23" s="43" t="str">
        <f t="shared" si="4"/>
        <v>#N/A</v>
      </c>
      <c r="S23" s="25" t="s">
        <v>139</v>
      </c>
      <c r="T23" s="25" t="s">
        <v>139</v>
      </c>
      <c r="U23" s="25" t="s">
        <v>139</v>
      </c>
    </row>
    <row r="24">
      <c r="A24" s="31">
        <v>28.0</v>
      </c>
      <c r="B24" s="32" t="s">
        <v>412</v>
      </c>
      <c r="C24" s="28" t="s">
        <v>211</v>
      </c>
      <c r="D24" s="28" t="s">
        <v>80</v>
      </c>
      <c r="E24" s="33" t="s">
        <v>413</v>
      </c>
      <c r="F24" s="30" t="s">
        <v>303</v>
      </c>
      <c r="G24" s="30" t="s">
        <v>83</v>
      </c>
      <c r="H24" s="30" t="s">
        <v>85</v>
      </c>
      <c r="I24" s="30" t="s">
        <v>88</v>
      </c>
      <c r="J24" s="30" t="s">
        <v>91</v>
      </c>
      <c r="K24" s="28" t="str">
        <f t="shared" si="2"/>
        <v/>
      </c>
      <c r="L24" s="30">
        <v>28.0</v>
      </c>
      <c r="M24" s="30">
        <f t="shared" si="3"/>
        <v>27</v>
      </c>
      <c r="N24" s="42" t="s">
        <v>417</v>
      </c>
      <c r="O24" s="28" t="s">
        <v>420</v>
      </c>
      <c r="P24" s="28" t="s">
        <v>247</v>
      </c>
      <c r="Q24" s="28" t="s">
        <v>151</v>
      </c>
      <c r="R24" s="43" t="str">
        <f t="shared" si="4"/>
        <v>#N/A</v>
      </c>
      <c r="S24" s="25" t="s">
        <v>139</v>
      </c>
      <c r="T24" s="25" t="s">
        <v>139</v>
      </c>
      <c r="U24" s="43"/>
    </row>
    <row r="25">
      <c r="A25" s="46">
        <v>39.0</v>
      </c>
      <c r="B25" s="18" t="s">
        <v>423</v>
      </c>
      <c r="C25" s="17" t="s">
        <v>181</v>
      </c>
      <c r="D25" s="17" t="s">
        <v>80</v>
      </c>
      <c r="E25" s="48" t="s">
        <v>426</v>
      </c>
      <c r="F25" s="21" t="s">
        <v>427</v>
      </c>
      <c r="G25" s="21" t="s">
        <v>83</v>
      </c>
      <c r="H25" s="21" t="s">
        <v>85</v>
      </c>
      <c r="I25" s="21" t="s">
        <v>88</v>
      </c>
      <c r="J25" s="21" t="s">
        <v>91</v>
      </c>
      <c r="K25" s="17" t="str">
        <f t="shared" si="2"/>
        <v/>
      </c>
      <c r="L25" s="21">
        <v>39.0</v>
      </c>
      <c r="M25" s="21">
        <f t="shared" si="3"/>
        <v>27</v>
      </c>
      <c r="N25" s="23" t="s">
        <v>431</v>
      </c>
      <c r="O25" s="17" t="s">
        <v>433</v>
      </c>
      <c r="P25" s="17" t="s">
        <v>247</v>
      </c>
      <c r="Q25" s="17" t="s">
        <v>151</v>
      </c>
      <c r="R25" s="43" t="str">
        <f t="shared" si="4"/>
        <v>#N/A</v>
      </c>
      <c r="S25" s="25" t="s">
        <v>139</v>
      </c>
      <c r="T25" s="25" t="s">
        <v>139</v>
      </c>
      <c r="U25" s="25" t="s">
        <v>139</v>
      </c>
    </row>
    <row r="26">
      <c r="A26" s="31">
        <v>38.0</v>
      </c>
      <c r="B26" s="32" t="s">
        <v>434</v>
      </c>
      <c r="C26" s="28" t="s">
        <v>181</v>
      </c>
      <c r="D26" s="28" t="s">
        <v>80</v>
      </c>
      <c r="E26" s="33" t="s">
        <v>437</v>
      </c>
      <c r="F26" s="30" t="s">
        <v>87</v>
      </c>
      <c r="G26" s="30" t="s">
        <v>83</v>
      </c>
      <c r="H26" s="30" t="s">
        <v>85</v>
      </c>
      <c r="I26" s="30" t="s">
        <v>88</v>
      </c>
      <c r="J26" s="30" t="s">
        <v>91</v>
      </c>
      <c r="K26" s="28" t="str">
        <f t="shared" si="2"/>
        <v/>
      </c>
      <c r="L26" s="30">
        <v>38.0</v>
      </c>
      <c r="M26" s="30">
        <f t="shared" si="3"/>
        <v>27</v>
      </c>
      <c r="N26" s="42" t="s">
        <v>443</v>
      </c>
      <c r="O26" s="28" t="s">
        <v>445</v>
      </c>
      <c r="P26" s="28" t="s">
        <v>247</v>
      </c>
      <c r="Q26" s="28" t="s">
        <v>151</v>
      </c>
      <c r="R26" s="43" t="str">
        <f t="shared" si="4"/>
        <v>#N/A</v>
      </c>
      <c r="S26" s="25" t="s">
        <v>139</v>
      </c>
      <c r="T26" s="25" t="s">
        <v>139</v>
      </c>
      <c r="U26" s="25" t="s">
        <v>139</v>
      </c>
    </row>
    <row r="27">
      <c r="A27" s="46">
        <v>33.0</v>
      </c>
      <c r="B27" s="18" t="s">
        <v>448</v>
      </c>
      <c r="C27" s="17" t="s">
        <v>181</v>
      </c>
      <c r="D27" s="17" t="s">
        <v>80</v>
      </c>
      <c r="E27" s="48" t="s">
        <v>451</v>
      </c>
      <c r="F27" s="21" t="s">
        <v>185</v>
      </c>
      <c r="G27" s="21" t="s">
        <v>83</v>
      </c>
      <c r="H27" s="21" t="s">
        <v>85</v>
      </c>
      <c r="I27" s="21" t="s">
        <v>88</v>
      </c>
      <c r="J27" s="21" t="s">
        <v>91</v>
      </c>
      <c r="K27" s="17" t="str">
        <f t="shared" si="2"/>
        <v/>
      </c>
      <c r="L27" s="21">
        <v>33.0</v>
      </c>
      <c r="M27" s="21">
        <f t="shared" si="3"/>
        <v>27</v>
      </c>
      <c r="N27" s="23" t="s">
        <v>454</v>
      </c>
      <c r="O27" s="17" t="s">
        <v>456</v>
      </c>
      <c r="P27" s="17" t="s">
        <v>355</v>
      </c>
      <c r="Q27" s="17" t="s">
        <v>357</v>
      </c>
      <c r="R27" s="43" t="str">
        <f t="shared" si="4"/>
        <v>#N/A</v>
      </c>
      <c r="S27" s="25" t="s">
        <v>139</v>
      </c>
      <c r="T27" s="25" t="s">
        <v>139</v>
      </c>
      <c r="U27" s="43"/>
    </row>
    <row r="28">
      <c r="A28" s="31">
        <v>32.0</v>
      </c>
      <c r="B28" s="32" t="s">
        <v>462</v>
      </c>
      <c r="C28" s="28" t="s">
        <v>181</v>
      </c>
      <c r="D28" s="28" t="s">
        <v>80</v>
      </c>
      <c r="E28" s="33" t="s">
        <v>464</v>
      </c>
      <c r="F28" s="30" t="s">
        <v>185</v>
      </c>
      <c r="G28" s="30" t="s">
        <v>83</v>
      </c>
      <c r="H28" s="30" t="s">
        <v>85</v>
      </c>
      <c r="I28" s="30" t="s">
        <v>88</v>
      </c>
      <c r="J28" s="30" t="s">
        <v>91</v>
      </c>
      <c r="K28" s="28" t="str">
        <f t="shared" si="2"/>
        <v/>
      </c>
      <c r="L28" s="30">
        <v>32.0</v>
      </c>
      <c r="M28" s="30">
        <f t="shared" si="3"/>
        <v>27</v>
      </c>
      <c r="N28" s="42" t="s">
        <v>467</v>
      </c>
      <c r="O28" s="28" t="s">
        <v>469</v>
      </c>
      <c r="P28" s="28" t="s">
        <v>247</v>
      </c>
      <c r="Q28" s="28" t="s">
        <v>470</v>
      </c>
      <c r="R28" s="43" t="str">
        <f t="shared" si="4"/>
        <v>#N/A</v>
      </c>
      <c r="S28" s="25" t="s">
        <v>139</v>
      </c>
      <c r="T28" s="25" t="s">
        <v>139</v>
      </c>
      <c r="U28" s="25" t="s">
        <v>139</v>
      </c>
    </row>
    <row r="29">
      <c r="A29" s="31">
        <v>42.0</v>
      </c>
      <c r="B29" s="32" t="s">
        <v>472</v>
      </c>
      <c r="C29" s="28" t="s">
        <v>181</v>
      </c>
      <c r="D29" s="28" t="s">
        <v>80</v>
      </c>
      <c r="E29" s="33" t="s">
        <v>476</v>
      </c>
      <c r="F29" s="30" t="s">
        <v>303</v>
      </c>
      <c r="G29" s="30" t="s">
        <v>83</v>
      </c>
      <c r="H29" s="30" t="s">
        <v>85</v>
      </c>
      <c r="I29" s="30" t="s">
        <v>88</v>
      </c>
      <c r="J29" s="30" t="s">
        <v>91</v>
      </c>
      <c r="K29" s="28" t="str">
        <f t="shared" si="2"/>
        <v/>
      </c>
      <c r="L29" s="30">
        <v>42.0</v>
      </c>
      <c r="M29" s="30">
        <f t="shared" si="3"/>
        <v>27</v>
      </c>
      <c r="N29" s="42" t="s">
        <v>480</v>
      </c>
      <c r="O29" s="28" t="s">
        <v>481</v>
      </c>
      <c r="P29" s="28" t="s">
        <v>199</v>
      </c>
      <c r="Q29" s="28" t="s">
        <v>484</v>
      </c>
      <c r="R29" s="43" t="str">
        <f t="shared" si="4"/>
        <v>#N/A</v>
      </c>
      <c r="S29" s="25" t="s">
        <v>139</v>
      </c>
      <c r="T29" s="25" t="s">
        <v>139</v>
      </c>
      <c r="U29" s="43"/>
    </row>
    <row r="30">
      <c r="A30" s="46">
        <v>41.0</v>
      </c>
      <c r="B30" s="18" t="s">
        <v>485</v>
      </c>
      <c r="C30" s="17" t="s">
        <v>181</v>
      </c>
      <c r="D30" s="17" t="s">
        <v>80</v>
      </c>
      <c r="E30" s="48" t="s">
        <v>486</v>
      </c>
      <c r="F30" s="21" t="s">
        <v>343</v>
      </c>
      <c r="G30" s="21" t="s">
        <v>83</v>
      </c>
      <c r="H30" s="21" t="s">
        <v>85</v>
      </c>
      <c r="I30" s="21" t="s">
        <v>88</v>
      </c>
      <c r="J30" s="21" t="s">
        <v>91</v>
      </c>
      <c r="K30" s="17" t="str">
        <f t="shared" si="2"/>
        <v/>
      </c>
      <c r="L30" s="21">
        <v>41.0</v>
      </c>
      <c r="M30" s="21">
        <f t="shared" si="3"/>
        <v>27</v>
      </c>
      <c r="N30" s="23" t="s">
        <v>493</v>
      </c>
      <c r="O30" s="17" t="s">
        <v>494</v>
      </c>
      <c r="P30" s="17" t="s">
        <v>347</v>
      </c>
      <c r="Q30" s="17" t="s">
        <v>151</v>
      </c>
      <c r="R30" s="43" t="str">
        <f t="shared" si="4"/>
        <v>#N/A</v>
      </c>
      <c r="S30" s="25" t="s">
        <v>139</v>
      </c>
      <c r="T30" s="25" t="s">
        <v>139</v>
      </c>
      <c r="U30" s="25" t="s">
        <v>139</v>
      </c>
    </row>
    <row r="31">
      <c r="A31" s="46">
        <v>37.0</v>
      </c>
      <c r="B31" s="18" t="s">
        <v>496</v>
      </c>
      <c r="C31" s="17" t="s">
        <v>181</v>
      </c>
      <c r="D31" s="17" t="s">
        <v>80</v>
      </c>
      <c r="E31" s="48" t="s">
        <v>498</v>
      </c>
      <c r="F31" s="21" t="s">
        <v>126</v>
      </c>
      <c r="G31" s="21" t="s">
        <v>83</v>
      </c>
      <c r="H31" s="21" t="s">
        <v>85</v>
      </c>
      <c r="I31" s="21" t="s">
        <v>88</v>
      </c>
      <c r="J31" s="21" t="s">
        <v>91</v>
      </c>
      <c r="K31" s="17" t="str">
        <f t="shared" si="2"/>
        <v/>
      </c>
      <c r="L31" s="21">
        <v>37.0</v>
      </c>
      <c r="M31" s="21">
        <f t="shared" si="3"/>
        <v>27</v>
      </c>
      <c r="N31" s="23" t="s">
        <v>129</v>
      </c>
      <c r="O31" s="17" t="s">
        <v>502</v>
      </c>
      <c r="P31" s="17" t="s">
        <v>109</v>
      </c>
      <c r="Q31" s="17" t="s">
        <v>136</v>
      </c>
      <c r="R31" s="43" t="str">
        <f t="shared" si="4"/>
        <v>#N/A</v>
      </c>
      <c r="S31" s="25" t="s">
        <v>139</v>
      </c>
      <c r="T31" s="25" t="s">
        <v>139</v>
      </c>
      <c r="U31" s="25" t="s">
        <v>139</v>
      </c>
    </row>
    <row r="32">
      <c r="A32" s="46">
        <v>21.0</v>
      </c>
      <c r="B32" s="18" t="s">
        <v>507</v>
      </c>
      <c r="C32" s="17" t="s">
        <v>211</v>
      </c>
      <c r="D32" s="17" t="s">
        <v>80</v>
      </c>
      <c r="E32" s="48" t="s">
        <v>509</v>
      </c>
      <c r="F32" s="21" t="s">
        <v>185</v>
      </c>
      <c r="G32" s="21" t="s">
        <v>83</v>
      </c>
      <c r="H32" s="21" t="s">
        <v>85</v>
      </c>
      <c r="I32" s="21" t="s">
        <v>88</v>
      </c>
      <c r="J32" s="21" t="s">
        <v>91</v>
      </c>
      <c r="K32" s="17" t="str">
        <f t="shared" si="2"/>
        <v/>
      </c>
      <c r="L32" s="21">
        <v>21.0</v>
      </c>
      <c r="M32" s="21">
        <f t="shared" si="3"/>
        <v>27</v>
      </c>
      <c r="N32" s="23" t="s">
        <v>514</v>
      </c>
      <c r="O32" s="17" t="s">
        <v>515</v>
      </c>
      <c r="P32" s="17" t="s">
        <v>199</v>
      </c>
      <c r="Q32" s="17" t="s">
        <v>517</v>
      </c>
      <c r="R32" s="43" t="str">
        <f t="shared" si="4"/>
        <v>#N/A</v>
      </c>
      <c r="S32" s="25" t="s">
        <v>139</v>
      </c>
      <c r="T32" s="25" t="s">
        <v>139</v>
      </c>
      <c r="U32" s="25" t="s">
        <v>139</v>
      </c>
    </row>
    <row r="33">
      <c r="A33" s="31">
        <v>36.0</v>
      </c>
      <c r="B33" s="32" t="s">
        <v>519</v>
      </c>
      <c r="C33" s="28" t="s">
        <v>181</v>
      </c>
      <c r="D33" s="28" t="s">
        <v>80</v>
      </c>
      <c r="E33" s="33" t="s">
        <v>520</v>
      </c>
      <c r="F33" s="30" t="s">
        <v>303</v>
      </c>
      <c r="G33" s="30" t="s">
        <v>83</v>
      </c>
      <c r="H33" s="30" t="s">
        <v>85</v>
      </c>
      <c r="I33" s="30" t="s">
        <v>88</v>
      </c>
      <c r="J33" s="30" t="s">
        <v>91</v>
      </c>
      <c r="K33" s="28" t="str">
        <f t="shared" si="2"/>
        <v/>
      </c>
      <c r="L33" s="30">
        <v>36.0</v>
      </c>
      <c r="M33" s="30">
        <f t="shared" si="3"/>
        <v>27</v>
      </c>
      <c r="N33" s="42" t="s">
        <v>527</v>
      </c>
      <c r="O33" s="28" t="s">
        <v>528</v>
      </c>
      <c r="P33" s="28" t="s">
        <v>247</v>
      </c>
      <c r="Q33" s="28" t="s">
        <v>529</v>
      </c>
      <c r="R33" s="43" t="str">
        <f t="shared" si="4"/>
        <v>#N/A</v>
      </c>
      <c r="S33" s="25" t="s">
        <v>139</v>
      </c>
      <c r="T33" s="25" t="s">
        <v>139</v>
      </c>
      <c r="U33" s="25" t="s">
        <v>139</v>
      </c>
    </row>
    <row r="34">
      <c r="A34" s="31">
        <v>40.0</v>
      </c>
      <c r="B34" s="32" t="s">
        <v>532</v>
      </c>
      <c r="C34" s="28" t="s">
        <v>181</v>
      </c>
      <c r="D34" s="28" t="s">
        <v>80</v>
      </c>
      <c r="E34" s="33" t="s">
        <v>533</v>
      </c>
      <c r="F34" s="30" t="s">
        <v>215</v>
      </c>
      <c r="G34" s="30" t="s">
        <v>83</v>
      </c>
      <c r="H34" s="30" t="s">
        <v>85</v>
      </c>
      <c r="I34" s="30" t="s">
        <v>88</v>
      </c>
      <c r="J34" s="30" t="s">
        <v>91</v>
      </c>
      <c r="K34" s="28" t="str">
        <f t="shared" si="2"/>
        <v/>
      </c>
      <c r="L34" s="30">
        <v>40.0</v>
      </c>
      <c r="M34" s="30">
        <f t="shared" si="3"/>
        <v>27</v>
      </c>
      <c r="N34" s="42" t="s">
        <v>538</v>
      </c>
      <c r="O34" s="28" t="s">
        <v>540</v>
      </c>
      <c r="P34" s="28" t="s">
        <v>199</v>
      </c>
      <c r="Q34" s="28" t="s">
        <v>136</v>
      </c>
      <c r="R34" s="43" t="str">
        <f t="shared" si="4"/>
        <v>#N/A</v>
      </c>
      <c r="S34" s="25" t="s">
        <v>139</v>
      </c>
      <c r="T34" s="25" t="s">
        <v>139</v>
      </c>
      <c r="U34" s="25" t="s">
        <v>139</v>
      </c>
    </row>
    <row r="35">
      <c r="A35" s="46">
        <v>27.0</v>
      </c>
      <c r="B35" s="18" t="s">
        <v>544</v>
      </c>
      <c r="C35" s="17" t="s">
        <v>211</v>
      </c>
      <c r="D35" s="17" t="s">
        <v>80</v>
      </c>
      <c r="E35" s="48" t="s">
        <v>546</v>
      </c>
      <c r="F35" s="21" t="s">
        <v>87</v>
      </c>
      <c r="G35" s="21" t="s">
        <v>83</v>
      </c>
      <c r="H35" s="21" t="s">
        <v>85</v>
      </c>
      <c r="I35" s="21" t="s">
        <v>88</v>
      </c>
      <c r="J35" s="21" t="s">
        <v>91</v>
      </c>
      <c r="K35" s="17" t="str">
        <f t="shared" si="2"/>
        <v/>
      </c>
      <c r="L35" s="21">
        <v>27.0</v>
      </c>
      <c r="M35" s="21">
        <f t="shared" si="3"/>
        <v>27</v>
      </c>
      <c r="N35" s="23" t="s">
        <v>467</v>
      </c>
      <c r="O35" s="17" t="s">
        <v>548</v>
      </c>
      <c r="P35" s="17" t="s">
        <v>247</v>
      </c>
      <c r="Q35" s="17" t="s">
        <v>550</v>
      </c>
      <c r="R35" s="43" t="str">
        <f t="shared" si="4"/>
        <v>#N/A</v>
      </c>
      <c r="S35" s="25" t="s">
        <v>139</v>
      </c>
      <c r="T35" s="25" t="s">
        <v>139</v>
      </c>
      <c r="U35" s="25" t="s">
        <v>139</v>
      </c>
    </row>
    <row r="36">
      <c r="A36" s="31">
        <v>22.0</v>
      </c>
      <c r="B36" s="32" t="s">
        <v>555</v>
      </c>
      <c r="C36" s="28" t="s">
        <v>211</v>
      </c>
      <c r="D36" s="28" t="s">
        <v>80</v>
      </c>
      <c r="E36" s="33" t="s">
        <v>556</v>
      </c>
      <c r="F36" s="30" t="s">
        <v>558</v>
      </c>
      <c r="G36" s="30" t="s">
        <v>83</v>
      </c>
      <c r="H36" s="30" t="s">
        <v>85</v>
      </c>
      <c r="I36" s="30" t="s">
        <v>88</v>
      </c>
      <c r="J36" s="30" t="s">
        <v>91</v>
      </c>
      <c r="K36" s="28" t="str">
        <f t="shared" si="2"/>
        <v/>
      </c>
      <c r="L36" s="30">
        <v>22.0</v>
      </c>
      <c r="M36" s="30">
        <f t="shared" si="3"/>
        <v>27</v>
      </c>
      <c r="N36" s="42" t="s">
        <v>561</v>
      </c>
      <c r="O36" s="28" t="s">
        <v>563</v>
      </c>
      <c r="P36" s="28" t="s">
        <v>564</v>
      </c>
      <c r="Q36" s="28" t="s">
        <v>113</v>
      </c>
      <c r="R36" s="43" t="str">
        <f t="shared" si="4"/>
        <v>#N/A</v>
      </c>
      <c r="S36" s="25" t="s">
        <v>139</v>
      </c>
      <c r="T36" s="25" t="s">
        <v>139</v>
      </c>
      <c r="U36" s="25" t="s">
        <v>139</v>
      </c>
    </row>
    <row r="37">
      <c r="A37" s="46">
        <v>5.0</v>
      </c>
      <c r="B37" s="18" t="s">
        <v>259</v>
      </c>
      <c r="C37" s="17" t="s">
        <v>79</v>
      </c>
      <c r="D37" s="17" t="s">
        <v>80</v>
      </c>
      <c r="E37" s="48" t="s">
        <v>566</v>
      </c>
      <c r="F37" s="21" t="s">
        <v>264</v>
      </c>
      <c r="G37" s="21" t="s">
        <v>83</v>
      </c>
      <c r="H37" s="21" t="s">
        <v>85</v>
      </c>
      <c r="I37" s="21" t="s">
        <v>88</v>
      </c>
      <c r="J37" s="21" t="s">
        <v>91</v>
      </c>
      <c r="K37" s="17" t="str">
        <f t="shared" si="2"/>
        <v/>
      </c>
      <c r="L37" s="21">
        <v>5.0</v>
      </c>
      <c r="M37" s="21">
        <f t="shared" si="3"/>
        <v>27</v>
      </c>
      <c r="N37" s="23" t="s">
        <v>269</v>
      </c>
      <c r="O37" s="17" t="s">
        <v>270</v>
      </c>
      <c r="P37" s="17" t="s">
        <v>109</v>
      </c>
      <c r="Q37" s="17" t="s">
        <v>110</v>
      </c>
      <c r="R37" s="43" t="str">
        <f t="shared" si="4"/>
        <v>#N/A</v>
      </c>
      <c r="S37" s="43"/>
      <c r="T37" s="25" t="s">
        <v>139</v>
      </c>
      <c r="U37" s="43"/>
    </row>
    <row r="38">
      <c r="A38" s="46">
        <v>49.0</v>
      </c>
      <c r="B38" s="18" t="s">
        <v>573</v>
      </c>
      <c r="C38" s="17" t="s">
        <v>230</v>
      </c>
      <c r="D38" s="17" t="s">
        <v>80</v>
      </c>
      <c r="E38" s="48" t="s">
        <v>574</v>
      </c>
      <c r="F38" s="21" t="s">
        <v>343</v>
      </c>
      <c r="G38" s="21" t="s">
        <v>83</v>
      </c>
      <c r="H38" s="21" t="s">
        <v>85</v>
      </c>
      <c r="I38" s="21" t="s">
        <v>88</v>
      </c>
      <c r="J38" s="21" t="s">
        <v>91</v>
      </c>
      <c r="K38" s="17" t="str">
        <f t="shared" si="2"/>
        <v/>
      </c>
      <c r="L38" s="21">
        <v>49.0</v>
      </c>
      <c r="M38" s="21">
        <f t="shared" si="3"/>
        <v>27</v>
      </c>
      <c r="N38" s="23" t="s">
        <v>580</v>
      </c>
      <c r="O38" s="17" t="s">
        <v>582</v>
      </c>
      <c r="P38" s="17" t="s">
        <v>583</v>
      </c>
      <c r="Q38" s="17" t="s">
        <v>151</v>
      </c>
      <c r="R38" s="43" t="str">
        <f t="shared" si="4"/>
        <v>#N/A</v>
      </c>
      <c r="S38" s="43"/>
      <c r="T38" s="43"/>
      <c r="U38" s="25" t="s">
        <v>139</v>
      </c>
    </row>
    <row r="39">
      <c r="A39" s="46">
        <v>11.0</v>
      </c>
      <c r="B39" s="18" t="s">
        <v>361</v>
      </c>
      <c r="C39" s="17" t="s">
        <v>79</v>
      </c>
      <c r="D39" s="17" t="s">
        <v>80</v>
      </c>
      <c r="E39" s="48" t="s">
        <v>586</v>
      </c>
      <c r="F39" s="21" t="s">
        <v>343</v>
      </c>
      <c r="G39" s="21" t="s">
        <v>83</v>
      </c>
      <c r="H39" s="21" t="s">
        <v>85</v>
      </c>
      <c r="I39" s="21" t="s">
        <v>88</v>
      </c>
      <c r="J39" s="21" t="s">
        <v>91</v>
      </c>
      <c r="K39" s="17" t="str">
        <f t="shared" si="2"/>
        <v/>
      </c>
      <c r="L39" s="21">
        <v>11.0</v>
      </c>
      <c r="M39" s="21">
        <f t="shared" si="3"/>
        <v>27</v>
      </c>
      <c r="N39" s="23" t="s">
        <v>370</v>
      </c>
      <c r="O39" s="17" t="s">
        <v>371</v>
      </c>
      <c r="P39" s="17" t="s">
        <v>347</v>
      </c>
      <c r="Q39" s="17" t="s">
        <v>151</v>
      </c>
      <c r="R39" s="43" t="str">
        <f t="shared" si="4"/>
        <v>#N/A</v>
      </c>
      <c r="S39" s="43"/>
      <c r="T39" s="43"/>
      <c r="U39" s="43"/>
    </row>
    <row r="40">
      <c r="A40" s="46">
        <v>1.0</v>
      </c>
      <c r="B40" s="18" t="s">
        <v>78</v>
      </c>
      <c r="C40" s="17" t="s">
        <v>79</v>
      </c>
      <c r="D40" s="17" t="s">
        <v>80</v>
      </c>
      <c r="E40" s="48" t="s">
        <v>595</v>
      </c>
      <c r="F40" s="21" t="s">
        <v>87</v>
      </c>
      <c r="G40" s="21" t="s">
        <v>83</v>
      </c>
      <c r="H40" s="21" t="s">
        <v>85</v>
      </c>
      <c r="I40" s="21" t="s">
        <v>88</v>
      </c>
      <c r="J40" s="21" t="s">
        <v>91</v>
      </c>
      <c r="K40" s="17" t="str">
        <f t="shared" si="2"/>
        <v/>
      </c>
      <c r="L40" s="21">
        <v>1.0</v>
      </c>
      <c r="M40" s="21">
        <f t="shared" si="3"/>
        <v>27</v>
      </c>
      <c r="N40" s="23" t="s">
        <v>111</v>
      </c>
      <c r="O40" s="17" t="s">
        <v>112</v>
      </c>
      <c r="P40" s="17" t="s">
        <v>109</v>
      </c>
      <c r="Q40" s="17" t="s">
        <v>113</v>
      </c>
      <c r="R40" s="43" t="str">
        <f t="shared" si="4"/>
        <v>#N/A</v>
      </c>
      <c r="S40" s="43"/>
      <c r="T40" s="25" t="s">
        <v>139</v>
      </c>
      <c r="U40" s="43"/>
    </row>
    <row r="41">
      <c r="A41" s="46">
        <v>23.0</v>
      </c>
      <c r="B41" s="18" t="s">
        <v>571</v>
      </c>
      <c r="C41" s="17" t="s">
        <v>211</v>
      </c>
      <c r="D41" s="17" t="s">
        <v>80</v>
      </c>
      <c r="E41" s="48" t="s">
        <v>600</v>
      </c>
      <c r="F41" s="21" t="s">
        <v>303</v>
      </c>
      <c r="G41" s="21" t="s">
        <v>83</v>
      </c>
      <c r="H41" s="21" t="s">
        <v>85</v>
      </c>
      <c r="I41" s="21" t="s">
        <v>88</v>
      </c>
      <c r="J41" s="21" t="s">
        <v>91</v>
      </c>
      <c r="K41" s="17" t="str">
        <f t="shared" si="2"/>
        <v/>
      </c>
      <c r="L41" s="21">
        <v>23.0</v>
      </c>
      <c r="M41" s="21">
        <f t="shared" si="3"/>
        <v>27</v>
      </c>
      <c r="N41" s="23" t="s">
        <v>579</v>
      </c>
      <c r="O41" s="17" t="s">
        <v>581</v>
      </c>
      <c r="P41" s="17" t="s">
        <v>199</v>
      </c>
      <c r="Q41" s="17" t="s">
        <v>324</v>
      </c>
      <c r="R41" s="43" t="str">
        <f t="shared" si="4"/>
        <v>#N/A</v>
      </c>
      <c r="S41" s="43"/>
      <c r="T41" s="25" t="s">
        <v>139</v>
      </c>
      <c r="U41" s="43"/>
    </row>
    <row r="42">
      <c r="A42" s="46">
        <v>43.0</v>
      </c>
      <c r="B42" s="18" t="s">
        <v>606</v>
      </c>
      <c r="C42" s="17" t="s">
        <v>230</v>
      </c>
      <c r="D42" s="17" t="s">
        <v>80</v>
      </c>
      <c r="E42" s="48" t="s">
        <v>609</v>
      </c>
      <c r="F42" s="21" t="s">
        <v>343</v>
      </c>
      <c r="G42" s="21" t="s">
        <v>83</v>
      </c>
      <c r="H42" s="21" t="s">
        <v>85</v>
      </c>
      <c r="I42" s="21" t="s">
        <v>88</v>
      </c>
      <c r="J42" s="21" t="s">
        <v>91</v>
      </c>
      <c r="K42" s="17" t="str">
        <f t="shared" si="2"/>
        <v/>
      </c>
      <c r="L42" s="21">
        <v>43.0</v>
      </c>
      <c r="M42" s="21">
        <f t="shared" si="3"/>
        <v>27</v>
      </c>
      <c r="N42" s="23" t="s">
        <v>612</v>
      </c>
      <c r="O42" s="17" t="s">
        <v>613</v>
      </c>
      <c r="P42" s="17" t="s">
        <v>347</v>
      </c>
      <c r="Q42" s="17" t="s">
        <v>151</v>
      </c>
      <c r="R42" s="43" t="str">
        <f t="shared" si="4"/>
        <v>#N/A</v>
      </c>
      <c r="S42" s="43"/>
      <c r="T42" s="25" t="s">
        <v>139</v>
      </c>
      <c r="U42" s="43"/>
    </row>
    <row r="43">
      <c r="A43" s="31">
        <v>30.0</v>
      </c>
      <c r="B43" s="32" t="s">
        <v>615</v>
      </c>
      <c r="C43" s="28" t="s">
        <v>211</v>
      </c>
      <c r="D43" s="28" t="s">
        <v>80</v>
      </c>
      <c r="E43" s="33" t="s">
        <v>616</v>
      </c>
      <c r="F43" s="30" t="s">
        <v>303</v>
      </c>
      <c r="G43" s="30" t="s">
        <v>83</v>
      </c>
      <c r="H43" s="30" t="s">
        <v>85</v>
      </c>
      <c r="I43" s="30" t="s">
        <v>88</v>
      </c>
      <c r="J43" s="30" t="s">
        <v>91</v>
      </c>
      <c r="K43" s="28" t="str">
        <f t="shared" si="2"/>
        <v/>
      </c>
      <c r="L43" s="30">
        <v>30.0</v>
      </c>
      <c r="M43" s="30">
        <f t="shared" si="3"/>
        <v>27</v>
      </c>
      <c r="N43" s="42" t="s">
        <v>617</v>
      </c>
      <c r="O43" s="28" t="s">
        <v>618</v>
      </c>
      <c r="P43" s="28" t="s">
        <v>199</v>
      </c>
      <c r="Q43" s="28" t="s">
        <v>619</v>
      </c>
      <c r="R43" s="43" t="str">
        <f t="shared" si="4"/>
        <v>#N/A</v>
      </c>
      <c r="S43" s="43"/>
      <c r="T43" s="25" t="s">
        <v>139</v>
      </c>
      <c r="U43" s="43"/>
    </row>
    <row r="44">
      <c r="A44" s="46">
        <v>45.0</v>
      </c>
      <c r="B44" s="18" t="s">
        <v>621</v>
      </c>
      <c r="C44" s="17" t="s">
        <v>230</v>
      </c>
      <c r="D44" s="17" t="s">
        <v>80</v>
      </c>
      <c r="E44" s="48" t="s">
        <v>622</v>
      </c>
      <c r="F44" s="21" t="s">
        <v>623</v>
      </c>
      <c r="G44" s="21" t="s">
        <v>83</v>
      </c>
      <c r="H44" s="21" t="s">
        <v>85</v>
      </c>
      <c r="I44" s="21" t="s">
        <v>88</v>
      </c>
      <c r="J44" s="21" t="s">
        <v>91</v>
      </c>
      <c r="K44" s="17" t="str">
        <f t="shared" si="2"/>
        <v/>
      </c>
      <c r="L44" s="21">
        <v>45.0</v>
      </c>
      <c r="M44" s="21">
        <f t="shared" si="3"/>
        <v>27</v>
      </c>
      <c r="N44" s="23" t="s">
        <v>624</v>
      </c>
      <c r="O44" s="17" t="s">
        <v>625</v>
      </c>
      <c r="P44" s="17" t="s">
        <v>347</v>
      </c>
      <c r="Q44" s="17" t="s">
        <v>136</v>
      </c>
      <c r="R44" s="43" t="str">
        <f t="shared" si="4"/>
        <v>#N/A</v>
      </c>
      <c r="S44" s="43"/>
      <c r="T44" s="25" t="s">
        <v>139</v>
      </c>
      <c r="U44" s="43"/>
    </row>
    <row r="45">
      <c r="A45" s="31">
        <v>50.0</v>
      </c>
      <c r="B45" s="32" t="s">
        <v>628</v>
      </c>
      <c r="C45" s="28" t="s">
        <v>230</v>
      </c>
      <c r="D45" s="28" t="s">
        <v>80</v>
      </c>
      <c r="E45" s="33" t="s">
        <v>629</v>
      </c>
      <c r="F45" s="30" t="s">
        <v>343</v>
      </c>
      <c r="G45" s="30" t="s">
        <v>83</v>
      </c>
      <c r="H45" s="30" t="s">
        <v>85</v>
      </c>
      <c r="I45" s="30" t="s">
        <v>88</v>
      </c>
      <c r="J45" s="30" t="s">
        <v>91</v>
      </c>
      <c r="K45" s="28" t="str">
        <f t="shared" si="2"/>
        <v/>
      </c>
      <c r="L45" s="30">
        <v>50.0</v>
      </c>
      <c r="M45" s="30">
        <f t="shared" si="3"/>
        <v>27</v>
      </c>
      <c r="N45" s="42" t="s">
        <v>370</v>
      </c>
      <c r="O45" s="28" t="s">
        <v>632</v>
      </c>
      <c r="P45" s="28" t="s">
        <v>109</v>
      </c>
      <c r="Q45" s="28" t="s">
        <v>151</v>
      </c>
      <c r="R45" s="43" t="str">
        <f t="shared" si="4"/>
        <v>#N/A</v>
      </c>
      <c r="S45" s="43"/>
      <c r="T45" s="43"/>
      <c r="U45" s="25" t="s">
        <v>139</v>
      </c>
    </row>
    <row r="46">
      <c r="A46" s="31">
        <v>24.0</v>
      </c>
      <c r="B46" s="32" t="s">
        <v>587</v>
      </c>
      <c r="C46" s="28" t="s">
        <v>211</v>
      </c>
      <c r="D46" s="28" t="s">
        <v>80</v>
      </c>
      <c r="E46" s="33" t="s">
        <v>634</v>
      </c>
      <c r="F46" s="30" t="s">
        <v>589</v>
      </c>
      <c r="G46" s="30" t="s">
        <v>83</v>
      </c>
      <c r="H46" s="30" t="s">
        <v>85</v>
      </c>
      <c r="I46" s="30" t="s">
        <v>88</v>
      </c>
      <c r="J46" s="30" t="s">
        <v>91</v>
      </c>
      <c r="K46" s="28" t="str">
        <f t="shared" si="2"/>
        <v/>
      </c>
      <c r="L46" s="30">
        <v>24.0</v>
      </c>
      <c r="M46" s="30">
        <f t="shared" si="3"/>
        <v>27</v>
      </c>
      <c r="N46" s="42" t="s">
        <v>593</v>
      </c>
      <c r="O46" s="28" t="s">
        <v>594</v>
      </c>
      <c r="P46" s="28" t="s">
        <v>199</v>
      </c>
      <c r="Q46" s="28" t="s">
        <v>151</v>
      </c>
      <c r="R46" s="43" t="str">
        <f t="shared" si="4"/>
        <v>#N/A</v>
      </c>
      <c r="S46" s="43"/>
      <c r="T46" s="43"/>
      <c r="U46" s="43"/>
    </row>
    <row r="47">
      <c r="A47" s="46">
        <v>25.0</v>
      </c>
      <c r="B47" s="18" t="s">
        <v>597</v>
      </c>
      <c r="C47" s="17" t="s">
        <v>211</v>
      </c>
      <c r="D47" s="17" t="s">
        <v>80</v>
      </c>
      <c r="E47" s="48" t="s">
        <v>636</v>
      </c>
      <c r="F47" s="21" t="s">
        <v>589</v>
      </c>
      <c r="G47" s="21" t="s">
        <v>83</v>
      </c>
      <c r="H47" s="21" t="s">
        <v>85</v>
      </c>
      <c r="I47" s="21" t="s">
        <v>88</v>
      </c>
      <c r="J47" s="21" t="s">
        <v>91</v>
      </c>
      <c r="K47" s="17" t="str">
        <f t="shared" si="2"/>
        <v/>
      </c>
      <c r="L47" s="21">
        <v>25.0</v>
      </c>
      <c r="M47" s="21">
        <f t="shared" si="3"/>
        <v>27</v>
      </c>
      <c r="N47" s="23" t="s">
        <v>601</v>
      </c>
      <c r="O47" s="17" t="s">
        <v>602</v>
      </c>
      <c r="P47" s="17" t="s">
        <v>199</v>
      </c>
      <c r="Q47" s="17" t="s">
        <v>324</v>
      </c>
      <c r="R47" s="43" t="str">
        <f t="shared" si="4"/>
        <v>#N/A</v>
      </c>
      <c r="S47" s="43"/>
      <c r="T47" s="43"/>
      <c r="U47" s="43"/>
    </row>
    <row r="48">
      <c r="A48" s="31">
        <v>26.0</v>
      </c>
      <c r="B48" s="32" t="s">
        <v>603</v>
      </c>
      <c r="C48" s="28" t="s">
        <v>211</v>
      </c>
      <c r="D48" s="28" t="s">
        <v>80</v>
      </c>
      <c r="E48" s="33" t="s">
        <v>638</v>
      </c>
      <c r="F48" s="30" t="s">
        <v>303</v>
      </c>
      <c r="G48" s="30" t="s">
        <v>83</v>
      </c>
      <c r="H48" s="30" t="s">
        <v>85</v>
      </c>
      <c r="I48" s="30" t="s">
        <v>88</v>
      </c>
      <c r="J48" s="30" t="s">
        <v>91</v>
      </c>
      <c r="K48" s="28" t="str">
        <f t="shared" si="2"/>
        <v/>
      </c>
      <c r="L48" s="30">
        <v>26.0</v>
      </c>
      <c r="M48" s="30">
        <f t="shared" si="3"/>
        <v>27</v>
      </c>
      <c r="N48" s="42" t="s">
        <v>607</v>
      </c>
      <c r="O48" s="28" t="s">
        <v>608</v>
      </c>
      <c r="P48" s="28" t="s">
        <v>355</v>
      </c>
      <c r="Q48" s="28" t="s">
        <v>357</v>
      </c>
      <c r="R48" s="43" t="str">
        <f t="shared" si="4"/>
        <v>#N/A</v>
      </c>
      <c r="S48" s="43"/>
      <c r="T48" s="43"/>
      <c r="U48" s="43"/>
    </row>
    <row r="49">
      <c r="A49" s="46">
        <v>29.0</v>
      </c>
      <c r="B49" s="18" t="s">
        <v>626</v>
      </c>
      <c r="C49" s="17" t="s">
        <v>211</v>
      </c>
      <c r="D49" s="17" t="s">
        <v>80</v>
      </c>
      <c r="E49" s="48" t="s">
        <v>640</v>
      </c>
      <c r="F49" s="21" t="s">
        <v>126</v>
      </c>
      <c r="G49" s="21" t="s">
        <v>83</v>
      </c>
      <c r="H49" s="21" t="s">
        <v>85</v>
      </c>
      <c r="I49" s="21" t="s">
        <v>88</v>
      </c>
      <c r="J49" s="21" t="s">
        <v>91</v>
      </c>
      <c r="K49" s="17" t="str">
        <f t="shared" si="2"/>
        <v/>
      </c>
      <c r="L49" s="21">
        <v>29.0</v>
      </c>
      <c r="M49" s="21">
        <f t="shared" si="3"/>
        <v>27</v>
      </c>
      <c r="N49" s="23" t="s">
        <v>630</v>
      </c>
      <c r="O49" s="17" t="s">
        <v>631</v>
      </c>
      <c r="P49" s="17" t="s">
        <v>247</v>
      </c>
      <c r="Q49" s="17" t="s">
        <v>151</v>
      </c>
      <c r="R49" s="43" t="str">
        <f t="shared" si="4"/>
        <v>#N/A</v>
      </c>
      <c r="S49" s="43"/>
      <c r="T49" s="43"/>
      <c r="U49" s="43"/>
    </row>
    <row r="50">
      <c r="A50" s="31">
        <v>46.0</v>
      </c>
      <c r="B50" s="32" t="s">
        <v>642</v>
      </c>
      <c r="C50" s="28" t="s">
        <v>230</v>
      </c>
      <c r="D50" s="28" t="s">
        <v>80</v>
      </c>
      <c r="E50" s="33" t="s">
        <v>643</v>
      </c>
      <c r="F50" s="30" t="s">
        <v>264</v>
      </c>
      <c r="G50" s="30" t="s">
        <v>83</v>
      </c>
      <c r="H50" s="30" t="s">
        <v>85</v>
      </c>
      <c r="I50" s="30" t="s">
        <v>88</v>
      </c>
      <c r="J50" s="30" t="s">
        <v>91</v>
      </c>
      <c r="K50" s="28" t="str">
        <f t="shared" si="2"/>
        <v/>
      </c>
      <c r="L50" s="30">
        <v>46.0</v>
      </c>
      <c r="M50" s="30">
        <f t="shared" si="3"/>
        <v>27</v>
      </c>
      <c r="N50" s="42" t="s">
        <v>645</v>
      </c>
      <c r="O50" s="28" t="s">
        <v>646</v>
      </c>
      <c r="P50" s="28" t="s">
        <v>347</v>
      </c>
      <c r="Q50" s="28" t="s">
        <v>136</v>
      </c>
      <c r="R50" s="43" t="str">
        <f t="shared" si="4"/>
        <v>#N/A</v>
      </c>
      <c r="S50" s="43"/>
      <c r="T50" s="43"/>
      <c r="U50" s="43"/>
    </row>
    <row r="51">
      <c r="A51" s="46">
        <v>47.0</v>
      </c>
      <c r="B51" s="18" t="s">
        <v>647</v>
      </c>
      <c r="C51" s="17" t="s">
        <v>230</v>
      </c>
      <c r="D51" s="17" t="s">
        <v>80</v>
      </c>
      <c r="E51" s="48" t="s">
        <v>649</v>
      </c>
      <c r="F51" s="21" t="s">
        <v>343</v>
      </c>
      <c r="G51" s="21" t="s">
        <v>83</v>
      </c>
      <c r="H51" s="21" t="s">
        <v>85</v>
      </c>
      <c r="I51" s="21" t="s">
        <v>88</v>
      </c>
      <c r="J51" s="21" t="s">
        <v>91</v>
      </c>
      <c r="K51" s="17" t="str">
        <f t="shared" si="2"/>
        <v/>
      </c>
      <c r="L51" s="21">
        <v>47.0</v>
      </c>
      <c r="M51" s="21">
        <f t="shared" si="3"/>
        <v>27</v>
      </c>
      <c r="N51" s="23" t="s">
        <v>651</v>
      </c>
      <c r="O51" s="17" t="s">
        <v>652</v>
      </c>
      <c r="P51" s="17" t="s">
        <v>347</v>
      </c>
      <c r="Q51" s="17" t="s">
        <v>151</v>
      </c>
      <c r="R51" s="43" t="str">
        <f t="shared" si="4"/>
        <v>#N/A</v>
      </c>
      <c r="S51" s="43"/>
      <c r="T51" s="43"/>
      <c r="U51" s="43"/>
    </row>
    <row r="52">
      <c r="A52" s="31">
        <v>48.0</v>
      </c>
      <c r="B52" s="32" t="s">
        <v>656</v>
      </c>
      <c r="C52" s="28" t="s">
        <v>230</v>
      </c>
      <c r="D52" s="28" t="s">
        <v>80</v>
      </c>
      <c r="E52" s="33" t="s">
        <v>658</v>
      </c>
      <c r="F52" s="30" t="s">
        <v>343</v>
      </c>
      <c r="G52" s="30" t="s">
        <v>83</v>
      </c>
      <c r="H52" s="30" t="s">
        <v>85</v>
      </c>
      <c r="I52" s="30" t="s">
        <v>88</v>
      </c>
      <c r="J52" s="30" t="s">
        <v>91</v>
      </c>
      <c r="K52" s="28" t="str">
        <f t="shared" si="2"/>
        <v/>
      </c>
      <c r="L52" s="30">
        <v>48.0</v>
      </c>
      <c r="M52" s="30">
        <f t="shared" si="3"/>
        <v>27</v>
      </c>
      <c r="N52" s="42" t="s">
        <v>669</v>
      </c>
      <c r="O52" s="28" t="s">
        <v>671</v>
      </c>
      <c r="P52" s="28" t="s">
        <v>347</v>
      </c>
      <c r="Q52" s="28" t="s">
        <v>672</v>
      </c>
      <c r="R52" s="43" t="str">
        <f t="shared" si="4"/>
        <v>#N/A</v>
      </c>
      <c r="S52" s="43"/>
      <c r="T52" s="43"/>
      <c r="U52" s="43"/>
    </row>
    <row r="53">
      <c r="A53" s="46">
        <v>51.0</v>
      </c>
      <c r="B53" s="18" t="s">
        <v>673</v>
      </c>
      <c r="C53" s="17" t="s">
        <v>230</v>
      </c>
      <c r="D53" s="17" t="s">
        <v>80</v>
      </c>
      <c r="E53" s="48" t="s">
        <v>674</v>
      </c>
      <c r="F53" s="21" t="s">
        <v>343</v>
      </c>
      <c r="G53" s="21" t="s">
        <v>83</v>
      </c>
      <c r="H53" s="21" t="s">
        <v>85</v>
      </c>
      <c r="I53" s="21" t="s">
        <v>88</v>
      </c>
      <c r="J53" s="21" t="s">
        <v>91</v>
      </c>
      <c r="K53" s="17" t="str">
        <f t="shared" si="2"/>
        <v/>
      </c>
      <c r="L53" s="21">
        <v>51.0</v>
      </c>
      <c r="M53" s="21">
        <f t="shared" si="3"/>
        <v>27</v>
      </c>
      <c r="N53" s="23" t="s">
        <v>678</v>
      </c>
      <c r="O53" s="17" t="s">
        <v>680</v>
      </c>
      <c r="P53" s="17" t="s">
        <v>347</v>
      </c>
      <c r="Q53" s="17" t="s">
        <v>151</v>
      </c>
      <c r="R53" s="43" t="str">
        <f t="shared" si="4"/>
        <v>#N/A</v>
      </c>
      <c r="S53" s="43"/>
      <c r="T53" s="43"/>
      <c r="U53" s="43"/>
    </row>
    <row r="54">
      <c r="A54" s="31">
        <v>52.0</v>
      </c>
      <c r="B54" s="32" t="s">
        <v>684</v>
      </c>
      <c r="C54" s="28" t="s">
        <v>230</v>
      </c>
      <c r="D54" s="28" t="s">
        <v>80</v>
      </c>
      <c r="E54" s="33" t="s">
        <v>685</v>
      </c>
      <c r="F54" s="30" t="s">
        <v>215</v>
      </c>
      <c r="G54" s="30" t="s">
        <v>83</v>
      </c>
      <c r="H54" s="30" t="s">
        <v>85</v>
      </c>
      <c r="I54" s="30" t="s">
        <v>88</v>
      </c>
      <c r="J54" s="30" t="s">
        <v>91</v>
      </c>
      <c r="K54" s="28" t="str">
        <f t="shared" si="2"/>
        <v/>
      </c>
      <c r="L54" s="30">
        <v>52.0</v>
      </c>
      <c r="M54" s="30">
        <f t="shared" si="3"/>
        <v>27</v>
      </c>
      <c r="N54" s="42" t="s">
        <v>693</v>
      </c>
      <c r="O54" s="28" t="s">
        <v>694</v>
      </c>
      <c r="P54" s="28" t="s">
        <v>199</v>
      </c>
      <c r="Q54" s="28" t="s">
        <v>136</v>
      </c>
      <c r="R54" s="43" t="str">
        <f t="shared" si="4"/>
        <v>#N/A</v>
      </c>
      <c r="S54" s="43"/>
      <c r="T54" s="43"/>
      <c r="U54" s="43"/>
    </row>
    <row r="55">
      <c r="A55" s="46">
        <v>53.0</v>
      </c>
      <c r="B55" s="18" t="s">
        <v>695</v>
      </c>
      <c r="C55" s="17" t="s">
        <v>230</v>
      </c>
      <c r="D55" s="17" t="s">
        <v>80</v>
      </c>
      <c r="E55" s="48" t="s">
        <v>697</v>
      </c>
      <c r="F55" s="21" t="s">
        <v>343</v>
      </c>
      <c r="G55" s="21" t="s">
        <v>83</v>
      </c>
      <c r="H55" s="21" t="s">
        <v>85</v>
      </c>
      <c r="I55" s="21" t="s">
        <v>88</v>
      </c>
      <c r="J55" s="21" t="s">
        <v>91</v>
      </c>
      <c r="K55" s="17" t="str">
        <f t="shared" si="2"/>
        <v/>
      </c>
      <c r="L55" s="21">
        <v>53.0</v>
      </c>
      <c r="M55" s="21">
        <f t="shared" si="3"/>
        <v>27</v>
      </c>
      <c r="N55" s="23" t="s">
        <v>678</v>
      </c>
      <c r="O55" s="17" t="s">
        <v>704</v>
      </c>
      <c r="P55" s="17" t="s">
        <v>347</v>
      </c>
      <c r="Q55" s="17" t="s">
        <v>151</v>
      </c>
      <c r="R55" s="43" t="str">
        <f t="shared" si="4"/>
        <v>#N/A</v>
      </c>
      <c r="S55" s="43"/>
      <c r="T55" s="43"/>
      <c r="U55" s="25" t="s">
        <v>139</v>
      </c>
    </row>
    <row r="56">
      <c r="A56" s="31">
        <v>54.0</v>
      </c>
      <c r="B56" s="32" t="s">
        <v>707</v>
      </c>
      <c r="C56" s="28" t="s">
        <v>177</v>
      </c>
      <c r="D56" s="28" t="s">
        <v>80</v>
      </c>
      <c r="E56" s="33" t="s">
        <v>711</v>
      </c>
      <c r="F56" s="30" t="s">
        <v>713</v>
      </c>
      <c r="G56" s="30" t="s">
        <v>714</v>
      </c>
      <c r="H56" s="30" t="s">
        <v>85</v>
      </c>
      <c r="I56" s="30" t="s">
        <v>88</v>
      </c>
      <c r="J56" s="30" t="s">
        <v>91</v>
      </c>
      <c r="K56" s="28" t="str">
        <f t="shared" si="2"/>
        <v/>
      </c>
      <c r="L56" s="30">
        <v>54.0</v>
      </c>
      <c r="M56" s="30">
        <f t="shared" si="3"/>
        <v>18</v>
      </c>
      <c r="N56" s="42" t="s">
        <v>718</v>
      </c>
      <c r="O56" s="28" t="s">
        <v>720</v>
      </c>
      <c r="P56" s="28" t="s">
        <v>199</v>
      </c>
      <c r="Q56" s="28" t="s">
        <v>151</v>
      </c>
      <c r="R56" s="43" t="str">
        <f t="shared" si="4"/>
        <v>#N/A</v>
      </c>
      <c r="S56" s="43"/>
      <c r="T56" s="25" t="s">
        <v>139</v>
      </c>
      <c r="U56" s="43"/>
    </row>
    <row r="57">
      <c r="A57" s="46">
        <v>55.0</v>
      </c>
      <c r="B57" s="18" t="s">
        <v>723</v>
      </c>
      <c r="C57" s="17" t="s">
        <v>177</v>
      </c>
      <c r="D57" s="17" t="s">
        <v>80</v>
      </c>
      <c r="E57" s="48" t="s">
        <v>725</v>
      </c>
      <c r="F57" s="21" t="s">
        <v>726</v>
      </c>
      <c r="G57" s="21" t="s">
        <v>714</v>
      </c>
      <c r="H57" s="21" t="s">
        <v>85</v>
      </c>
      <c r="I57" s="21" t="s">
        <v>88</v>
      </c>
      <c r="J57" s="21" t="s">
        <v>91</v>
      </c>
      <c r="K57" s="17" t="str">
        <f t="shared" si="2"/>
        <v/>
      </c>
      <c r="L57" s="21">
        <v>55.0</v>
      </c>
      <c r="M57" s="21">
        <f t="shared" si="3"/>
        <v>18</v>
      </c>
      <c r="N57" s="23" t="s">
        <v>733</v>
      </c>
      <c r="O57" s="17" t="s">
        <v>734</v>
      </c>
      <c r="P57" s="17" t="s">
        <v>199</v>
      </c>
      <c r="Q57" s="17" t="s">
        <v>110</v>
      </c>
      <c r="R57" s="43" t="str">
        <f t="shared" si="4"/>
        <v>#N/A</v>
      </c>
      <c r="S57" s="43"/>
      <c r="T57" s="43"/>
      <c r="U57" s="43"/>
    </row>
    <row r="58">
      <c r="A58" s="31">
        <v>56.0</v>
      </c>
      <c r="B58" s="32" t="s">
        <v>736</v>
      </c>
      <c r="C58" s="28" t="s">
        <v>177</v>
      </c>
      <c r="D58" s="28" t="s">
        <v>80</v>
      </c>
      <c r="E58" s="33" t="s">
        <v>741</v>
      </c>
      <c r="F58" s="30" t="s">
        <v>742</v>
      </c>
      <c r="G58" s="30" t="s">
        <v>83</v>
      </c>
      <c r="H58" s="30" t="s">
        <v>85</v>
      </c>
      <c r="I58" s="30" t="s">
        <v>88</v>
      </c>
      <c r="J58" s="30" t="s">
        <v>91</v>
      </c>
      <c r="K58" s="28" t="str">
        <f t="shared" si="2"/>
        <v/>
      </c>
      <c r="L58" s="30">
        <v>56.0</v>
      </c>
      <c r="M58" s="30">
        <f t="shared" si="3"/>
        <v>27</v>
      </c>
      <c r="N58" s="42" t="s">
        <v>221</v>
      </c>
      <c r="O58" s="28" t="s">
        <v>744</v>
      </c>
      <c r="P58" s="28" t="s">
        <v>109</v>
      </c>
      <c r="Q58" s="28" t="s">
        <v>151</v>
      </c>
      <c r="R58" s="43" t="str">
        <f t="shared" si="4"/>
        <v>#N/A</v>
      </c>
      <c r="S58" s="43"/>
      <c r="T58" s="25" t="s">
        <v>139</v>
      </c>
      <c r="U58" s="43"/>
    </row>
    <row r="59">
      <c r="A59" s="46">
        <v>57.0</v>
      </c>
      <c r="B59" s="18" t="s">
        <v>751</v>
      </c>
      <c r="C59" s="17" t="s">
        <v>177</v>
      </c>
      <c r="D59" s="17" t="s">
        <v>80</v>
      </c>
      <c r="E59" s="48" t="s">
        <v>752</v>
      </c>
      <c r="F59" s="21" t="s">
        <v>742</v>
      </c>
      <c r="G59" s="21" t="s">
        <v>83</v>
      </c>
      <c r="H59" s="21" t="s">
        <v>85</v>
      </c>
      <c r="I59" s="21" t="s">
        <v>88</v>
      </c>
      <c r="J59" s="21" t="s">
        <v>91</v>
      </c>
      <c r="K59" s="17" t="str">
        <f t="shared" si="2"/>
        <v/>
      </c>
      <c r="L59" s="21">
        <v>57.0</v>
      </c>
      <c r="M59" s="21">
        <f t="shared" si="3"/>
        <v>27</v>
      </c>
      <c r="N59" s="23" t="s">
        <v>282</v>
      </c>
      <c r="O59" s="17" t="s">
        <v>759</v>
      </c>
      <c r="P59" s="17" t="s">
        <v>109</v>
      </c>
      <c r="Q59" s="17" t="s">
        <v>151</v>
      </c>
      <c r="R59" s="43" t="str">
        <f t="shared" si="4"/>
        <v>#N/A</v>
      </c>
      <c r="S59" s="43"/>
      <c r="T59" s="43"/>
      <c r="U59" s="43"/>
    </row>
    <row r="60">
      <c r="A60" s="31">
        <v>58.0</v>
      </c>
      <c r="B60" s="32" t="s">
        <v>760</v>
      </c>
      <c r="C60" s="28" t="s">
        <v>177</v>
      </c>
      <c r="D60" s="28" t="s">
        <v>80</v>
      </c>
      <c r="E60" s="33" t="s">
        <v>762</v>
      </c>
      <c r="F60" s="30" t="s">
        <v>742</v>
      </c>
      <c r="G60" s="30" t="s">
        <v>83</v>
      </c>
      <c r="H60" s="30" t="s">
        <v>85</v>
      </c>
      <c r="I60" s="30" t="s">
        <v>88</v>
      </c>
      <c r="J60" s="30" t="s">
        <v>91</v>
      </c>
      <c r="K60" s="28" t="str">
        <f t="shared" si="2"/>
        <v/>
      </c>
      <c r="L60" s="30">
        <v>58.0</v>
      </c>
      <c r="M60" s="30">
        <f t="shared" si="3"/>
        <v>27</v>
      </c>
      <c r="N60" s="42" t="s">
        <v>769</v>
      </c>
      <c r="O60" s="28" t="s">
        <v>771</v>
      </c>
      <c r="P60" s="28" t="s">
        <v>109</v>
      </c>
      <c r="Q60" s="28" t="s">
        <v>151</v>
      </c>
      <c r="R60" s="43" t="str">
        <f t="shared" si="4"/>
        <v>#N/A</v>
      </c>
      <c r="S60" s="43"/>
      <c r="T60" s="25" t="s">
        <v>139</v>
      </c>
      <c r="U60" s="25" t="s">
        <v>139</v>
      </c>
    </row>
    <row r="61">
      <c r="A61" s="46">
        <v>59.0</v>
      </c>
      <c r="B61" s="18" t="s">
        <v>776</v>
      </c>
      <c r="C61" s="17" t="s">
        <v>177</v>
      </c>
      <c r="D61" s="17" t="s">
        <v>80</v>
      </c>
      <c r="E61" s="48" t="s">
        <v>777</v>
      </c>
      <c r="F61" s="21" t="s">
        <v>742</v>
      </c>
      <c r="G61" s="21" t="s">
        <v>83</v>
      </c>
      <c r="H61" s="21" t="s">
        <v>85</v>
      </c>
      <c r="I61" s="21" t="s">
        <v>88</v>
      </c>
      <c r="J61" s="21" t="s">
        <v>91</v>
      </c>
      <c r="K61" s="17" t="str">
        <f t="shared" si="2"/>
        <v/>
      </c>
      <c r="L61" s="21">
        <v>59.0</v>
      </c>
      <c r="M61" s="21">
        <f t="shared" si="3"/>
        <v>27</v>
      </c>
      <c r="N61" s="23" t="s">
        <v>779</v>
      </c>
      <c r="O61" s="17" t="s">
        <v>780</v>
      </c>
      <c r="P61" s="17" t="s">
        <v>109</v>
      </c>
      <c r="Q61" s="17" t="s">
        <v>151</v>
      </c>
      <c r="R61" s="43" t="str">
        <f t="shared" si="4"/>
        <v>#N/A</v>
      </c>
      <c r="S61" s="43"/>
      <c r="T61" s="43"/>
      <c r="U61" s="43"/>
    </row>
    <row r="62">
      <c r="A62" s="31">
        <v>60.0</v>
      </c>
      <c r="B62" s="32" t="s">
        <v>781</v>
      </c>
      <c r="C62" s="28" t="s">
        <v>177</v>
      </c>
      <c r="D62" s="28" t="s">
        <v>80</v>
      </c>
      <c r="E62" s="33" t="s">
        <v>783</v>
      </c>
      <c r="F62" s="30" t="s">
        <v>742</v>
      </c>
      <c r="G62" s="30" t="s">
        <v>83</v>
      </c>
      <c r="H62" s="30" t="s">
        <v>85</v>
      </c>
      <c r="I62" s="30" t="s">
        <v>88</v>
      </c>
      <c r="J62" s="30" t="s">
        <v>91</v>
      </c>
      <c r="K62" s="28" t="str">
        <f t="shared" si="2"/>
        <v/>
      </c>
      <c r="L62" s="30">
        <v>60.0</v>
      </c>
      <c r="M62" s="30">
        <f t="shared" si="3"/>
        <v>27</v>
      </c>
      <c r="N62" s="42" t="s">
        <v>785</v>
      </c>
      <c r="O62" s="28" t="s">
        <v>786</v>
      </c>
      <c r="P62" s="28" t="s">
        <v>109</v>
      </c>
      <c r="Q62" s="28" t="s">
        <v>151</v>
      </c>
      <c r="R62" s="43" t="str">
        <f t="shared" si="4"/>
        <v>#N/A</v>
      </c>
      <c r="S62" s="43"/>
      <c r="T62" s="43"/>
      <c r="U62" s="43"/>
    </row>
    <row r="63">
      <c r="A63" s="46">
        <v>61.0</v>
      </c>
      <c r="B63" s="18" t="s">
        <v>787</v>
      </c>
      <c r="C63" s="17" t="s">
        <v>177</v>
      </c>
      <c r="D63" s="17" t="s">
        <v>80</v>
      </c>
      <c r="E63" s="48" t="s">
        <v>788</v>
      </c>
      <c r="F63" s="21" t="s">
        <v>742</v>
      </c>
      <c r="G63" s="21" t="s">
        <v>83</v>
      </c>
      <c r="H63" s="21" t="s">
        <v>85</v>
      </c>
      <c r="I63" s="21" t="s">
        <v>88</v>
      </c>
      <c r="J63" s="21" t="s">
        <v>91</v>
      </c>
      <c r="K63" s="17" t="str">
        <f t="shared" si="2"/>
        <v/>
      </c>
      <c r="L63" s="21">
        <v>61.0</v>
      </c>
      <c r="M63" s="21">
        <f t="shared" si="3"/>
        <v>27</v>
      </c>
      <c r="N63" s="23" t="s">
        <v>790</v>
      </c>
      <c r="O63" s="17" t="s">
        <v>791</v>
      </c>
      <c r="P63" s="17" t="s">
        <v>109</v>
      </c>
      <c r="Q63" s="17" t="s">
        <v>324</v>
      </c>
      <c r="R63" s="43" t="str">
        <f t="shared" si="4"/>
        <v>#N/A</v>
      </c>
      <c r="S63" s="43"/>
      <c r="T63" s="43"/>
      <c r="U63" s="43"/>
    </row>
    <row r="64">
      <c r="A64" s="31">
        <v>62.0</v>
      </c>
      <c r="B64" s="32" t="s">
        <v>792</v>
      </c>
      <c r="C64" s="28" t="s">
        <v>177</v>
      </c>
      <c r="D64" s="28" t="s">
        <v>80</v>
      </c>
      <c r="E64" s="33" t="s">
        <v>793</v>
      </c>
      <c r="F64" s="30" t="s">
        <v>713</v>
      </c>
      <c r="G64" s="30" t="s">
        <v>714</v>
      </c>
      <c r="H64" s="30" t="s">
        <v>85</v>
      </c>
      <c r="I64" s="30" t="s">
        <v>88</v>
      </c>
      <c r="J64" s="30" t="s">
        <v>91</v>
      </c>
      <c r="K64" s="28" t="str">
        <f t="shared" si="2"/>
        <v/>
      </c>
      <c r="L64" s="30">
        <v>62.0</v>
      </c>
      <c r="M64" s="30">
        <f t="shared" si="3"/>
        <v>18</v>
      </c>
      <c r="N64" s="42" t="s">
        <v>795</v>
      </c>
      <c r="O64" s="28" t="s">
        <v>796</v>
      </c>
      <c r="P64" s="28" t="s">
        <v>199</v>
      </c>
      <c r="Q64" s="28" t="s">
        <v>151</v>
      </c>
      <c r="R64" s="43" t="str">
        <f t="shared" si="4"/>
        <v>#N/A</v>
      </c>
      <c r="S64" s="43"/>
      <c r="T64" s="43"/>
      <c r="U64" s="43"/>
    </row>
    <row r="65">
      <c r="A65" s="46">
        <v>63.0</v>
      </c>
      <c r="B65" s="18" t="s">
        <v>797</v>
      </c>
      <c r="C65" s="17" t="s">
        <v>177</v>
      </c>
      <c r="D65" s="17" t="s">
        <v>80</v>
      </c>
      <c r="E65" s="48" t="s">
        <v>799</v>
      </c>
      <c r="F65" s="21" t="s">
        <v>264</v>
      </c>
      <c r="G65" s="21" t="s">
        <v>83</v>
      </c>
      <c r="H65" s="21" t="s">
        <v>85</v>
      </c>
      <c r="I65" s="21" t="s">
        <v>88</v>
      </c>
      <c r="J65" s="21" t="s">
        <v>91</v>
      </c>
      <c r="K65" s="17" t="str">
        <f t="shared" si="2"/>
        <v/>
      </c>
      <c r="L65" s="21">
        <v>63.0</v>
      </c>
      <c r="M65" s="21">
        <f t="shared" si="3"/>
        <v>27</v>
      </c>
      <c r="N65" s="23" t="s">
        <v>269</v>
      </c>
      <c r="O65" s="17" t="s">
        <v>800</v>
      </c>
      <c r="P65" s="17" t="s">
        <v>109</v>
      </c>
      <c r="Q65" s="17" t="s">
        <v>110</v>
      </c>
      <c r="R65" s="43" t="str">
        <f t="shared" si="4"/>
        <v>#N/A</v>
      </c>
      <c r="S65" s="43"/>
      <c r="T65" s="25" t="s">
        <v>139</v>
      </c>
      <c r="U65" s="43"/>
    </row>
    <row r="66">
      <c r="A66" s="31">
        <v>64.0</v>
      </c>
      <c r="B66" s="32" t="s">
        <v>801</v>
      </c>
      <c r="C66" s="28" t="s">
        <v>177</v>
      </c>
      <c r="D66" s="28" t="s">
        <v>80</v>
      </c>
      <c r="E66" s="33" t="s">
        <v>803</v>
      </c>
      <c r="F66" s="30" t="s">
        <v>713</v>
      </c>
      <c r="G66" s="30" t="s">
        <v>714</v>
      </c>
      <c r="H66" s="30" t="s">
        <v>85</v>
      </c>
      <c r="I66" s="30" t="s">
        <v>88</v>
      </c>
      <c r="J66" s="30" t="s">
        <v>91</v>
      </c>
      <c r="K66" s="28" t="str">
        <f t="shared" si="2"/>
        <v/>
      </c>
      <c r="L66" s="30">
        <v>64.0</v>
      </c>
      <c r="M66" s="30">
        <f t="shared" si="3"/>
        <v>18</v>
      </c>
      <c r="N66" s="42" t="s">
        <v>804</v>
      </c>
      <c r="O66" s="28" t="s">
        <v>805</v>
      </c>
      <c r="P66" s="28" t="s">
        <v>199</v>
      </c>
      <c r="Q66" s="28" t="s">
        <v>110</v>
      </c>
      <c r="R66" s="43" t="str">
        <f t="shared" si="4"/>
        <v>#N/A</v>
      </c>
      <c r="S66" s="43"/>
      <c r="T66" s="43"/>
      <c r="U66" s="43"/>
    </row>
    <row r="67">
      <c r="A67" s="46">
        <v>65.0</v>
      </c>
      <c r="B67" s="18" t="s">
        <v>807</v>
      </c>
      <c r="C67" s="17" t="s">
        <v>177</v>
      </c>
      <c r="D67" s="17" t="s">
        <v>80</v>
      </c>
      <c r="E67" s="48" t="s">
        <v>808</v>
      </c>
      <c r="F67" s="21" t="s">
        <v>82</v>
      </c>
      <c r="G67" s="21" t="s">
        <v>714</v>
      </c>
      <c r="H67" s="21" t="s">
        <v>85</v>
      </c>
      <c r="I67" s="21" t="s">
        <v>88</v>
      </c>
      <c r="J67" s="21" t="s">
        <v>91</v>
      </c>
      <c r="K67" s="17" t="str">
        <f t="shared" si="2"/>
        <v/>
      </c>
      <c r="L67" s="21">
        <v>65.0</v>
      </c>
      <c r="M67" s="21">
        <f t="shared" si="3"/>
        <v>18</v>
      </c>
      <c r="N67" s="23" t="s">
        <v>809</v>
      </c>
      <c r="O67" s="17" t="s">
        <v>810</v>
      </c>
      <c r="P67" s="17" t="s">
        <v>199</v>
      </c>
      <c r="Q67" s="17" t="s">
        <v>151</v>
      </c>
      <c r="R67" s="43" t="str">
        <f t="shared" si="4"/>
        <v>#N/A</v>
      </c>
      <c r="S67" s="43"/>
      <c r="T67" s="43"/>
      <c r="U67" s="43"/>
    </row>
    <row r="68">
      <c r="A68" s="31">
        <v>66.0</v>
      </c>
      <c r="B68" s="32" t="s">
        <v>812</v>
      </c>
      <c r="C68" s="28" t="s">
        <v>177</v>
      </c>
      <c r="D68" s="28" t="s">
        <v>80</v>
      </c>
      <c r="E68" s="33" t="s">
        <v>813</v>
      </c>
      <c r="F68" s="30" t="s">
        <v>623</v>
      </c>
      <c r="G68" s="30" t="s">
        <v>83</v>
      </c>
      <c r="H68" s="30" t="s">
        <v>85</v>
      </c>
      <c r="I68" s="30" t="s">
        <v>88</v>
      </c>
      <c r="J68" s="30" t="s">
        <v>91</v>
      </c>
      <c r="K68" s="28" t="str">
        <f t="shared" si="2"/>
        <v/>
      </c>
      <c r="L68" s="30">
        <v>66.0</v>
      </c>
      <c r="M68" s="30">
        <f t="shared" si="3"/>
        <v>27</v>
      </c>
      <c r="N68" s="42" t="s">
        <v>814</v>
      </c>
      <c r="O68" s="28" t="s">
        <v>815</v>
      </c>
      <c r="P68" s="28" t="s">
        <v>199</v>
      </c>
      <c r="Q68" s="28" t="s">
        <v>110</v>
      </c>
      <c r="R68" s="43" t="str">
        <f t="shared" si="4"/>
        <v>#N/A</v>
      </c>
      <c r="S68" s="43"/>
      <c r="T68" s="25" t="s">
        <v>139</v>
      </c>
      <c r="U68" s="43"/>
    </row>
    <row r="69">
      <c r="A69" s="46">
        <v>67.0</v>
      </c>
      <c r="B69" s="18" t="s">
        <v>817</v>
      </c>
      <c r="C69" s="17" t="s">
        <v>177</v>
      </c>
      <c r="D69" s="17" t="s">
        <v>80</v>
      </c>
      <c r="E69" s="48" t="s">
        <v>818</v>
      </c>
      <c r="F69" s="21" t="s">
        <v>126</v>
      </c>
      <c r="G69" s="21" t="s">
        <v>83</v>
      </c>
      <c r="H69" s="21" t="s">
        <v>85</v>
      </c>
      <c r="I69" s="21" t="s">
        <v>88</v>
      </c>
      <c r="J69" s="21" t="s">
        <v>91</v>
      </c>
      <c r="K69" s="17" t="str">
        <f t="shared" si="2"/>
        <v/>
      </c>
      <c r="L69" s="21">
        <v>67.0</v>
      </c>
      <c r="M69" s="21">
        <f t="shared" si="3"/>
        <v>27</v>
      </c>
      <c r="N69" s="23" t="s">
        <v>820</v>
      </c>
      <c r="O69" s="17" t="s">
        <v>821</v>
      </c>
      <c r="P69" s="17" t="s">
        <v>199</v>
      </c>
      <c r="Q69" s="17" t="s">
        <v>151</v>
      </c>
      <c r="R69" s="43" t="str">
        <f t="shared" si="4"/>
        <v>#N/A</v>
      </c>
      <c r="S69" s="43"/>
      <c r="T69" s="43"/>
      <c r="U69" s="43"/>
    </row>
    <row r="70">
      <c r="A70" s="31">
        <v>68.0</v>
      </c>
      <c r="B70" s="32" t="s">
        <v>822</v>
      </c>
      <c r="C70" s="28" t="s">
        <v>177</v>
      </c>
      <c r="D70" s="28" t="s">
        <v>80</v>
      </c>
      <c r="E70" s="33" t="s">
        <v>823</v>
      </c>
      <c r="F70" s="30" t="s">
        <v>713</v>
      </c>
      <c r="G70" s="30" t="s">
        <v>714</v>
      </c>
      <c r="H70" s="30" t="s">
        <v>85</v>
      </c>
      <c r="I70" s="30" t="s">
        <v>88</v>
      </c>
      <c r="J70" s="30" t="s">
        <v>91</v>
      </c>
      <c r="K70" s="28" t="str">
        <f t="shared" si="2"/>
        <v/>
      </c>
      <c r="L70" s="30">
        <v>68.0</v>
      </c>
      <c r="M70" s="30">
        <f t="shared" si="3"/>
        <v>18</v>
      </c>
      <c r="N70" s="42" t="s">
        <v>718</v>
      </c>
      <c r="O70" s="28" t="s">
        <v>825</v>
      </c>
      <c r="P70" s="28" t="s">
        <v>199</v>
      </c>
      <c r="Q70" s="28" t="s">
        <v>151</v>
      </c>
      <c r="R70" s="43" t="str">
        <f t="shared" si="4"/>
        <v>#N/A</v>
      </c>
      <c r="S70" s="43"/>
      <c r="T70" s="43"/>
      <c r="U70" s="43"/>
    </row>
    <row r="71">
      <c r="A71" s="46">
        <v>69.0</v>
      </c>
      <c r="B71" s="18" t="s">
        <v>826</v>
      </c>
      <c r="C71" s="17" t="s">
        <v>177</v>
      </c>
      <c r="D71" s="17" t="s">
        <v>80</v>
      </c>
      <c r="E71" s="48" t="s">
        <v>827</v>
      </c>
      <c r="F71" s="21" t="s">
        <v>303</v>
      </c>
      <c r="G71" s="21" t="s">
        <v>83</v>
      </c>
      <c r="H71" s="21" t="s">
        <v>85</v>
      </c>
      <c r="I71" s="21" t="s">
        <v>88</v>
      </c>
      <c r="J71" s="21" t="s">
        <v>91</v>
      </c>
      <c r="K71" s="17" t="str">
        <f t="shared" si="2"/>
        <v/>
      </c>
      <c r="L71" s="21">
        <v>69.0</v>
      </c>
      <c r="M71" s="21">
        <f t="shared" si="3"/>
        <v>27</v>
      </c>
      <c r="N71" s="23" t="s">
        <v>829</v>
      </c>
      <c r="O71" s="17" t="s">
        <v>830</v>
      </c>
      <c r="P71" s="17" t="s">
        <v>199</v>
      </c>
      <c r="Q71" s="17" t="s">
        <v>151</v>
      </c>
      <c r="R71" s="43" t="str">
        <f t="shared" si="4"/>
        <v>#N/A</v>
      </c>
      <c r="S71" s="43"/>
      <c r="T71" s="43"/>
      <c r="U71" s="43"/>
    </row>
    <row r="72">
      <c r="A72" s="31">
        <v>70.0</v>
      </c>
      <c r="B72" s="32" t="s">
        <v>831</v>
      </c>
      <c r="C72" s="28" t="s">
        <v>177</v>
      </c>
      <c r="D72" s="28" t="s">
        <v>80</v>
      </c>
      <c r="E72" s="33" t="s">
        <v>832</v>
      </c>
      <c r="F72" s="30" t="s">
        <v>239</v>
      </c>
      <c r="G72" s="30" t="s">
        <v>714</v>
      </c>
      <c r="H72" s="30" t="s">
        <v>85</v>
      </c>
      <c r="I72" s="30" t="s">
        <v>88</v>
      </c>
      <c r="J72" s="30" t="s">
        <v>91</v>
      </c>
      <c r="K72" s="28" t="str">
        <f t="shared" si="2"/>
        <v/>
      </c>
      <c r="L72" s="30">
        <v>70.0</v>
      </c>
      <c r="M72" s="30">
        <f t="shared" si="3"/>
        <v>18</v>
      </c>
      <c r="N72" s="42" t="s">
        <v>834</v>
      </c>
      <c r="O72" s="28" t="s">
        <v>835</v>
      </c>
      <c r="P72" s="28" t="s">
        <v>109</v>
      </c>
      <c r="Q72" s="28" t="s">
        <v>151</v>
      </c>
      <c r="R72" s="43" t="str">
        <f t="shared" si="4"/>
        <v>#N/A</v>
      </c>
      <c r="S72" s="43"/>
      <c r="T72" s="25" t="s">
        <v>139</v>
      </c>
      <c r="U72" s="43"/>
    </row>
  </sheetData>
  <conditionalFormatting sqref="J2:J72">
    <cfRule type="cellIs" dxfId="6" priority="1" operator="equal">
      <formula>"CORE 80/20"</formula>
    </cfRule>
  </conditionalFormatting>
  <conditionalFormatting sqref="A2:B72">
    <cfRule type="expression" dxfId="7" priority="2">
      <formula>$J2="CORE 80/20"</formula>
    </cfRule>
  </conditionalFormatting>
  <conditionalFormatting sqref="K2:K72">
    <cfRule type="expression" dxfId="0" priority="3">
      <formula>LEFT($K2,1)="A"</formula>
    </cfRule>
  </conditionalFormatting>
  <conditionalFormatting sqref="K2:K72">
    <cfRule type="expression" dxfId="7" priority="4">
      <formula>LEFT($K2,1)="B"</formula>
    </cfRule>
  </conditionalFormatting>
  <conditionalFormatting sqref="K2:K72">
    <cfRule type="expression" dxfId="8" priority="5">
      <formula>LEFT($K2,1)="D"</formula>
    </cfRule>
  </conditionalFormatting>
  <conditionalFormatting sqref="H2:H72">
    <cfRule type="cellIs" dxfId="9" priority="6" operator="equal">
      <formula>"P1"</formula>
    </cfRule>
  </conditionalFormatting>
  <conditionalFormatting sqref="G2:G72">
    <cfRule type="cellIs" dxfId="10" priority="7" operator="equal">
      <formula>"Hot"</formula>
    </cfRule>
  </conditionalFormatting>
  <conditionalFormatting sqref="M2:M72">
    <cfRule type="colorScale" priority="8">
      <colorScale>
        <cfvo type="formula" val="1"/>
        <cfvo type="max" val="0"/>
        <color rgb="FFFFFFFF"/>
        <color rgb="FFE3C27A"/>
      </colorScale>
    </cfRule>
  </conditionalFormatting>
  <dataValidations>
    <dataValidation type="list" allowBlank="1" sqref="H2:H72">
      <formula1>"P1,P2,P3"</formula1>
    </dataValidation>
    <dataValidation type="list" allowBlank="1" showErrorMessage="1" sqref="S3:U72">
      <formula1>"YES,NO"</formula1>
    </dataValidation>
    <dataValidation type="list" allowBlank="1" sqref="I2:I72">
      <formula1>"Cao,TB,Thấp"</formula1>
    </dataValidation>
    <dataValidation type="list" allowBlank="1" sqref="J2:J72">
      <formula1>"CORE 80/20,—"</formula1>
    </dataValidation>
    <dataValidation type="list" allowBlank="1" sqref="G2:G72">
      <formula1>"Cold,Warm,Hot"</formula1>
    </dataValidation>
    <dataValidation type="list" allowBlank="1" sqref="D2:D72">
      <formula1>"S1 · NHẬN BIẾT (Cold),S2 · TÌM HIỂU (Warm),S3 · CÂN NHẮC &amp; NỖI SỢ (Warm→Hot),S4 · THỰC HIỆN (Hot),S5 · TRẢI NGHIỆM &amp; HẬU PHẪU (Existing),S6 · GẮN BÓ &amp; MỞ RỘNG (LTV)"</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49A3A"/>
    <pageSetUpPr fitToPage="1"/>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outlineLevelCol="1"/>
  <cols>
    <col customWidth="1" min="1" max="1" width="6.0"/>
    <col customWidth="1" min="2" max="2" width="7.0"/>
    <col customWidth="1" min="3" max="3" width="30.0"/>
    <col customWidth="1" min="4" max="4" width="17.0"/>
    <col customWidth="1" min="5" max="5" width="20.0"/>
    <col customWidth="1" min="6" max="6" width="8.0"/>
    <col customWidth="1" min="7" max="7" width="7.0"/>
    <col customWidth="1" min="8" max="8" width="8.0"/>
    <col customWidth="1" min="9" max="9" width="32.0"/>
    <col customWidth="1" min="10" max="10" width="23.86"/>
    <col customWidth="1" min="11" max="11" width="46.0"/>
    <col customWidth="1" min="12" max="12" width="30.0"/>
    <col customWidth="1" min="13" max="13" width="16.0"/>
    <col customWidth="1" min="14" max="14" width="24.0"/>
    <col customWidth="1" min="15" max="15" width="13.0"/>
    <col customWidth="1" min="16" max="16" width="24.0"/>
    <col customWidth="1" min="17" max="27" width="8.71"/>
  </cols>
  <sheetData>
    <row r="1" ht="30.0" customHeight="1">
      <c r="A1" s="2" t="s">
        <v>317</v>
      </c>
      <c r="B1" s="4"/>
      <c r="C1" s="4"/>
      <c r="D1" s="4"/>
      <c r="E1" s="4"/>
      <c r="F1" s="4"/>
      <c r="G1" s="4"/>
      <c r="H1" s="4"/>
      <c r="I1" s="4"/>
      <c r="J1" s="4"/>
      <c r="K1" s="4"/>
      <c r="L1" s="4"/>
      <c r="M1" s="4"/>
      <c r="N1" s="4"/>
      <c r="O1" s="4"/>
      <c r="P1" s="5"/>
    </row>
    <row r="2" ht="43.5" customHeight="1">
      <c r="A2" s="7" t="s">
        <v>322</v>
      </c>
      <c r="B2" s="4"/>
      <c r="C2" s="4"/>
      <c r="D2" s="4"/>
      <c r="E2" s="4"/>
      <c r="F2" s="4"/>
      <c r="G2" s="4"/>
      <c r="H2" s="4"/>
      <c r="I2" s="4"/>
      <c r="J2" s="4"/>
      <c r="K2" s="4"/>
      <c r="L2" s="4"/>
      <c r="M2" s="4"/>
      <c r="N2" s="4"/>
      <c r="O2" s="4"/>
      <c r="P2" s="5"/>
    </row>
    <row r="3" ht="27.75" customHeight="1">
      <c r="A3" s="10" t="s">
        <v>325</v>
      </c>
      <c r="B3" s="10"/>
      <c r="C3" s="10"/>
      <c r="D3" s="10"/>
      <c r="E3" s="10"/>
      <c r="F3" s="10"/>
      <c r="G3" s="10"/>
      <c r="H3" s="10"/>
      <c r="I3" s="10"/>
      <c r="J3" s="63" t="s">
        <v>326</v>
      </c>
      <c r="K3" s="63" t="s">
        <v>328</v>
      </c>
      <c r="L3" s="10"/>
      <c r="M3" s="10"/>
      <c r="N3" s="10"/>
      <c r="O3" s="10"/>
      <c r="P3" s="10"/>
    </row>
    <row r="4" ht="39.75" customHeight="1">
      <c r="A4" s="3" t="s">
        <v>63</v>
      </c>
      <c r="B4" s="3" t="s">
        <v>65</v>
      </c>
      <c r="C4" s="3" t="s">
        <v>331</v>
      </c>
      <c r="D4" s="9" t="s">
        <v>69</v>
      </c>
      <c r="E4" s="3" t="s">
        <v>5</v>
      </c>
      <c r="F4" s="9" t="s">
        <v>31</v>
      </c>
      <c r="G4" s="9" t="s">
        <v>33</v>
      </c>
      <c r="H4" s="9" t="s">
        <v>35</v>
      </c>
      <c r="I4" s="3" t="s">
        <v>332</v>
      </c>
      <c r="J4" s="3"/>
      <c r="K4" s="3" t="s">
        <v>333</v>
      </c>
      <c r="L4" s="3" t="s">
        <v>334</v>
      </c>
      <c r="M4" s="3" t="s">
        <v>335</v>
      </c>
      <c r="N4" s="3" t="s">
        <v>336</v>
      </c>
      <c r="O4" s="3" t="s">
        <v>337</v>
      </c>
      <c r="P4" s="3" t="s">
        <v>338</v>
      </c>
    </row>
    <row r="5" ht="46.5" customHeight="1">
      <c r="A5" s="21"/>
      <c r="B5" s="15"/>
      <c r="C5" s="12"/>
      <c r="D5" s="17"/>
      <c r="E5" s="17"/>
      <c r="F5" s="21"/>
      <c r="G5" s="21"/>
      <c r="H5" s="24"/>
      <c r="I5" s="17"/>
      <c r="J5" s="64">
        <f>SUM(J6:J21)</f>
        <v>41</v>
      </c>
      <c r="K5" s="65">
        <f>COUNTA(K6:K15)</f>
        <v>10</v>
      </c>
      <c r="L5" s="17"/>
      <c r="M5" s="17"/>
      <c r="N5" s="17"/>
      <c r="O5" s="44"/>
      <c r="P5" s="66"/>
    </row>
    <row r="6" ht="46.5" customHeight="1">
      <c r="A6" s="21">
        <v>1.0</v>
      </c>
      <c r="B6" s="15" t="s">
        <v>115</v>
      </c>
      <c r="C6" s="12" t="s">
        <v>350</v>
      </c>
      <c r="D6" s="17" t="str">
        <f t="array" ref="D6">IFERROR(INDEX('3. Mũi- Bo truy van Master'!$U$5:$U$19,MATCH(B6,'3. Mũi- Bo truy van Master'!$S$5:$S$19,0)),"")</f>
        <v>A · CORE 80/20</v>
      </c>
      <c r="E6" s="17" t="s">
        <v>80</v>
      </c>
      <c r="F6" s="21">
        <f>COUNTIF('3. Mũi- Bo truy van Master'!$B$5:$B$400,B6&amp;"*")</f>
        <v>19</v>
      </c>
      <c r="G6" s="21">
        <f>COUNTIFS('3. Mũi- Bo truy van Master'!$B$5:$B$400,B6&amp;"*",'3. Mũi- Bo truy van Master'!$I$5:$I$400,"CORE 80/20")</f>
        <v>15</v>
      </c>
      <c r="H6" s="24">
        <f>IFERROR(SUMIF('3. Mũi- Bo truy van Master'!$B$5:$B$400,B6&amp;"*",'3. Mũi- Bo truy van Master'!$L$5:$L$400)/SUM('3. Mũi- Bo truy van Master'!$L$5:$L$400),0)</f>
        <v>0.1545189504</v>
      </c>
      <c r="I6" s="17" t="s">
        <v>359</v>
      </c>
      <c r="J6" s="67">
        <v>9.0</v>
      </c>
      <c r="K6" s="17" t="s">
        <v>362</v>
      </c>
      <c r="L6" s="17" t="s">
        <v>109</v>
      </c>
      <c r="M6" s="17" t="s">
        <v>363</v>
      </c>
      <c r="N6" s="17" t="s">
        <v>364</v>
      </c>
      <c r="O6" s="44" t="s">
        <v>365</v>
      </c>
      <c r="P6" s="66"/>
    </row>
    <row r="7" ht="46.5" customHeight="1">
      <c r="A7" s="30">
        <v>2.0</v>
      </c>
      <c r="B7" s="27" t="s">
        <v>175</v>
      </c>
      <c r="C7" s="26" t="s">
        <v>367</v>
      </c>
      <c r="D7" s="28" t="str">
        <f t="array" ref="D7">IFERROR(INDEX('3. Mũi- Bo truy van Master'!$U$5:$U$19,MATCH(B7,'3. Mũi- Bo truy van Master'!$S$5:$S$19,0)),"")</f>
        <v>A · CORE 80/20</v>
      </c>
      <c r="E7" s="28" t="s">
        <v>80</v>
      </c>
      <c r="F7" s="30">
        <f>COUNTIF('3. Mũi- Bo truy van Master'!$B$5:$B$400,B7&amp;"*")</f>
        <v>20</v>
      </c>
      <c r="G7" s="30">
        <f>COUNTIFS('3. Mũi- Bo truy van Master'!$B$5:$B$400,B7&amp;"*",'3. Mũi- Bo truy van Master'!$I$5:$I$400,"CORE 80/20")</f>
        <v>17</v>
      </c>
      <c r="H7" s="35">
        <f>IFERROR(SUMIF('3. Mũi- Bo truy van Master'!$B$5:$B$400,B7&amp;"*",'3. Mũi- Bo truy van Master'!$L$5:$L$400)/SUM('3. Mũi- Bo truy van Master'!$L$5:$L$400),0)</f>
        <v>0.139941691</v>
      </c>
      <c r="I7" s="28" t="s">
        <v>377</v>
      </c>
      <c r="J7" s="68">
        <v>9.0</v>
      </c>
      <c r="K7" s="28" t="s">
        <v>380</v>
      </c>
      <c r="L7" s="28" t="s">
        <v>199</v>
      </c>
      <c r="M7" s="28" t="s">
        <v>363</v>
      </c>
      <c r="N7" s="28" t="s">
        <v>383</v>
      </c>
      <c r="O7" s="44" t="s">
        <v>365</v>
      </c>
      <c r="P7" s="66"/>
    </row>
    <row r="8" ht="46.5" customHeight="1">
      <c r="A8" s="21">
        <v>3.0</v>
      </c>
      <c r="B8" s="15" t="s">
        <v>227</v>
      </c>
      <c r="C8" s="12" t="s">
        <v>391</v>
      </c>
      <c r="D8" s="17" t="str">
        <f t="array" ref="D8">IFERROR(INDEX('3. Mũi- Bo truy van Master'!$U$5:$U$19,MATCH(B8,'3. Mũi- Bo truy van Master'!$S$5:$S$19,0)),"")</f>
        <v>A · CORE 80/20</v>
      </c>
      <c r="E8" s="17" t="s">
        <v>80</v>
      </c>
      <c r="F8" s="21">
        <f>COUNTIF('3. Mũi- Bo truy van Master'!$B$5:$B$400,B8&amp;"*")</f>
        <v>16</v>
      </c>
      <c r="G8" s="21">
        <f>COUNTIFS('3. Mũi- Bo truy van Master'!$B$5:$B$400,B8&amp;"*",'3. Mũi- Bo truy van Master'!$I$5:$I$400,"CORE 80/20")</f>
        <v>11</v>
      </c>
      <c r="H8" s="24">
        <f>IFERROR(SUMIF('3. Mũi- Bo truy van Master'!$B$5:$B$400,B8&amp;"*",'3. Mũi- Bo truy van Master'!$L$5:$L$400)/SUM('3. Mũi- Bo truy van Master'!$L$5:$L$400),0)</f>
        <v>0.1221250405</v>
      </c>
      <c r="I8" s="17" t="s">
        <v>400</v>
      </c>
      <c r="J8" s="67">
        <v>1.0</v>
      </c>
      <c r="K8" s="71" t="s">
        <v>402</v>
      </c>
      <c r="L8" s="17" t="s">
        <v>347</v>
      </c>
      <c r="M8" s="17" t="s">
        <v>363</v>
      </c>
      <c r="N8" s="17" t="s">
        <v>403</v>
      </c>
      <c r="O8" s="44" t="s">
        <v>365</v>
      </c>
      <c r="P8" s="66"/>
    </row>
    <row r="9" ht="46.5" customHeight="1">
      <c r="A9" s="30">
        <v>4.0</v>
      </c>
      <c r="B9" s="27" t="s">
        <v>251</v>
      </c>
      <c r="C9" s="26" t="s">
        <v>405</v>
      </c>
      <c r="D9" s="28" t="str">
        <f t="array" ref="D9">IFERROR(INDEX('3. Mũi- Bo truy van Master'!$U$5:$U$19,MATCH(B9,'3. Mũi- Bo truy van Master'!$S$5:$S$19,0)),"")</f>
        <v>A · CORE 80/20</v>
      </c>
      <c r="E9" s="28" t="s">
        <v>80</v>
      </c>
      <c r="F9" s="30">
        <f>COUNTIF('3. Mũi- Bo truy van Master'!$B$5:$B$400,B9&amp;"*")</f>
        <v>18</v>
      </c>
      <c r="G9" s="30">
        <f>COUNTIFS('3. Mũi- Bo truy van Master'!$B$5:$B$400,B9&amp;"*",'3. Mũi- Bo truy van Master'!$I$5:$I$400,"CORE 80/20")</f>
        <v>15</v>
      </c>
      <c r="H9" s="35">
        <f>IFERROR(SUMIF('3. Mũi- Bo truy van Master'!$B$5:$B$400,B9&amp;"*",'3. Mũi- Bo truy van Master'!$L$5:$L$400)/SUM('3. Mũi- Bo truy van Master'!$L$5:$L$400),0)</f>
        <v>0.09912536443</v>
      </c>
      <c r="I9" s="28" t="s">
        <v>415</v>
      </c>
      <c r="J9" s="68">
        <v>2.0</v>
      </c>
      <c r="K9" s="28" t="s">
        <v>419</v>
      </c>
      <c r="L9" s="28" t="s">
        <v>247</v>
      </c>
      <c r="M9" s="28" t="s">
        <v>363</v>
      </c>
      <c r="N9" s="28" t="s">
        <v>421</v>
      </c>
      <c r="O9" s="44" t="s">
        <v>365</v>
      </c>
      <c r="P9" s="66"/>
    </row>
    <row r="10" ht="46.5" customHeight="1">
      <c r="A10" s="21">
        <v>5.0</v>
      </c>
      <c r="B10" s="15" t="s">
        <v>272</v>
      </c>
      <c r="C10" s="12" t="s">
        <v>424</v>
      </c>
      <c r="D10" s="17" t="str">
        <f t="array" ref="D10">IFERROR(INDEX('3. Mũi- Bo truy van Master'!$U$5:$U$19,MATCH(B10,'3. Mũi- Bo truy van Master'!$S$5:$S$19,0)),"")</f>
        <v>A · CORE 80/20</v>
      </c>
      <c r="E10" s="17" t="s">
        <v>80</v>
      </c>
      <c r="F10" s="21">
        <f>COUNTIF('3. Mũi- Bo truy van Master'!$B$5:$B$400,B10&amp;"*")</f>
        <v>16</v>
      </c>
      <c r="G10" s="21">
        <f>COUNTIFS('3. Mũi- Bo truy van Master'!$B$5:$B$400,B10&amp;"*",'3. Mũi- Bo truy van Master'!$I$5:$I$400,"CORE 80/20")</f>
        <v>12</v>
      </c>
      <c r="H10" s="24">
        <f>IFERROR(SUMIF('3. Mũi- Bo truy van Master'!$B$5:$B$400,B10&amp;"*",'3. Mũi- Bo truy van Master'!$L$5:$L$400)/SUM('3. Mũi- Bo truy van Master'!$L$5:$L$400),0)</f>
        <v>0.08206457186</v>
      </c>
      <c r="I10" s="17" t="s">
        <v>439</v>
      </c>
      <c r="J10" s="67">
        <v>1.0</v>
      </c>
      <c r="K10" s="17" t="s">
        <v>440</v>
      </c>
      <c r="L10" s="17" t="s">
        <v>199</v>
      </c>
      <c r="M10" s="17" t="s">
        <v>363</v>
      </c>
      <c r="N10" s="17" t="s">
        <v>442</v>
      </c>
      <c r="O10" s="44" t="s">
        <v>365</v>
      </c>
      <c r="P10" s="66"/>
    </row>
    <row r="11" ht="46.5" customHeight="1">
      <c r="A11" s="30">
        <v>6.0</v>
      </c>
      <c r="B11" s="27" t="s">
        <v>106</v>
      </c>
      <c r="C11" s="26" t="s">
        <v>444</v>
      </c>
      <c r="D11" s="28" t="str">
        <f t="array" ref="D11">IFERROR(INDEX('3. Mũi- Bo truy van Master'!$U$5:$U$19,MATCH(B11,'3. Mũi- Bo truy van Master'!$S$5:$S$19,0)),"")</f>
        <v>B · Đòn bẩy chuyển đổi</v>
      </c>
      <c r="E11" s="28" t="s">
        <v>99</v>
      </c>
      <c r="F11" s="30">
        <f>COUNTIF('3. Mũi- Bo truy van Master'!$B$5:$B$400,B11&amp;"*")</f>
        <v>17</v>
      </c>
      <c r="G11" s="30">
        <f>COUNTIFS('3. Mũi- Bo truy van Master'!$B$5:$B$400,B11&amp;"*",'3. Mũi- Bo truy van Master'!$I$5:$I$400,"CORE 80/20")</f>
        <v>0</v>
      </c>
      <c r="H11" s="35">
        <f>IFERROR(SUMIF('3. Mũi- Bo truy van Master'!$B$5:$B$400,B11&amp;"*",'3. Mũi- Bo truy van Master'!$L$5:$L$400)/SUM('3. Mũi- Bo truy van Master'!$L$5:$L$400),0)</f>
        <v>0.07256235828</v>
      </c>
      <c r="I11" s="28" t="s">
        <v>455</v>
      </c>
      <c r="J11" s="68">
        <v>2.0</v>
      </c>
      <c r="K11" s="28" t="s">
        <v>458</v>
      </c>
      <c r="L11" s="28" t="s">
        <v>199</v>
      </c>
      <c r="M11" s="28" t="s">
        <v>459</v>
      </c>
      <c r="N11" s="28" t="s">
        <v>460</v>
      </c>
      <c r="O11" s="44" t="s">
        <v>365</v>
      </c>
      <c r="P11" s="66"/>
    </row>
    <row r="12" ht="46.5" customHeight="1">
      <c r="A12" s="21">
        <v>7.0</v>
      </c>
      <c r="B12" s="15" t="s">
        <v>299</v>
      </c>
      <c r="C12" s="12" t="s">
        <v>463</v>
      </c>
      <c r="D12" s="17" t="str">
        <f t="array" ref="D12">IFERROR(INDEX('3. Mũi- Bo truy van Master'!$U$5:$U$19,MATCH(B12,'3. Mũi- Bo truy van Master'!$S$5:$S$19,0)),"")</f>
        <v>B · Đòn bẩy chuyển đổi</v>
      </c>
      <c r="E12" s="17" t="s">
        <v>61</v>
      </c>
      <c r="F12" s="21">
        <f>COUNTIF('3. Mũi- Bo truy van Master'!$B$5:$B$400,B12&amp;"*")</f>
        <v>18</v>
      </c>
      <c r="G12" s="21">
        <f>COUNTIFS('3. Mũi- Bo truy van Master'!$B$5:$B$400,B12&amp;"*",'3. Mũi- Bo truy van Master'!$I$5:$I$400,"CORE 80/20")</f>
        <v>0</v>
      </c>
      <c r="H12" s="24">
        <f>IFERROR(SUMIF('3. Mũi- Bo truy van Master'!$B$5:$B$400,B12&amp;"*",'3. Mũi- Bo truy van Master'!$L$5:$L$400)/SUM('3. Mũi- Bo truy van Master'!$L$5:$L$400),0)</f>
        <v>0.06262822589</v>
      </c>
      <c r="I12" s="17" t="s">
        <v>474</v>
      </c>
      <c r="J12" s="67">
        <v>2.0</v>
      </c>
      <c r="K12" s="17" t="s">
        <v>475</v>
      </c>
      <c r="L12" s="17" t="s">
        <v>255</v>
      </c>
      <c r="M12" s="17" t="s">
        <v>459</v>
      </c>
      <c r="N12" s="17" t="s">
        <v>477</v>
      </c>
      <c r="O12" s="44" t="s">
        <v>365</v>
      </c>
      <c r="P12" s="66"/>
    </row>
    <row r="13" ht="46.5" customHeight="1">
      <c r="A13" s="30">
        <v>8.0</v>
      </c>
      <c r="B13" s="27" t="s">
        <v>319</v>
      </c>
      <c r="C13" s="26" t="s">
        <v>478</v>
      </c>
      <c r="D13" s="28" t="str">
        <f t="array" ref="D13">IFERROR(INDEX('3. Mũi- Bo truy van Master'!$U$5:$U$19,MATCH(B13,'3. Mũi- Bo truy van Master'!$S$5:$S$19,0)),"")</f>
        <v>B · Đòn bẩy chuyển đổi</v>
      </c>
      <c r="E13" s="28" t="s">
        <v>61</v>
      </c>
      <c r="F13" s="30">
        <f>COUNTIF('3. Mũi- Bo truy van Master'!$B$5:$B$400,B13&amp;"*")</f>
        <v>16</v>
      </c>
      <c r="G13" s="30">
        <f>COUNTIFS('3. Mũi- Bo truy van Master'!$B$5:$B$400,B13&amp;"*",'3. Mũi- Bo truy van Master'!$I$5:$I$400,"CORE 80/20")</f>
        <v>0</v>
      </c>
      <c r="H13" s="35">
        <f>IFERROR(SUMIF('3. Mũi- Bo truy van Master'!$B$5:$B$400,B13&amp;"*",'3. Mũi- Bo truy van Master'!$L$5:$L$400)/SUM('3. Mũi- Bo truy van Master'!$L$5:$L$400),0)</f>
        <v>0.0606845913</v>
      </c>
      <c r="I13" s="28" t="s">
        <v>487</v>
      </c>
      <c r="J13" s="68">
        <v>3.0</v>
      </c>
      <c r="K13" s="28" t="s">
        <v>489</v>
      </c>
      <c r="L13" s="28" t="s">
        <v>491</v>
      </c>
      <c r="M13" s="28" t="s">
        <v>459</v>
      </c>
      <c r="N13" s="28" t="s">
        <v>492</v>
      </c>
      <c r="O13" s="44" t="s">
        <v>365</v>
      </c>
      <c r="P13" s="66"/>
    </row>
    <row r="14" ht="46.5" customHeight="1">
      <c r="A14" s="30">
        <v>10.0</v>
      </c>
      <c r="B14" s="27" t="s">
        <v>354</v>
      </c>
      <c r="C14" s="26" t="s">
        <v>495</v>
      </c>
      <c r="D14" s="28" t="str">
        <f t="array" ref="D14">IFERROR(INDEX('3. Mũi- Bo truy van Master'!$U$5:$U$19,MATCH(B14,'3. Mũi- Bo truy van Master'!$S$5:$S$19,0)),"")</f>
        <v>B · Đòn bẩy chuyển đổi</v>
      </c>
      <c r="E14" s="28" t="s">
        <v>37</v>
      </c>
      <c r="F14" s="30">
        <f>COUNTIF('3. Mũi- Bo truy van Master'!$B$5:$B$400,B14&amp;"*")</f>
        <v>15</v>
      </c>
      <c r="G14" s="30">
        <f>COUNTIFS('3. Mũi- Bo truy van Master'!$B$5:$B$400,B14&amp;"*",'3. Mũi- Bo truy van Master'!$I$5:$I$400,"CORE 80/20")</f>
        <v>0</v>
      </c>
      <c r="H14" s="35">
        <f>IFERROR(SUMIF('3. Mũi- Bo truy van Master'!$B$5:$B$400,B14&amp;"*",'3. Mũi- Bo truy van Master'!$L$5:$L$400)/SUM('3. Mũi- Bo truy van Master'!$L$5:$L$400),0)</f>
        <v>0.04535147392</v>
      </c>
      <c r="I14" s="28" t="s">
        <v>503</v>
      </c>
      <c r="J14" s="68">
        <v>5.0</v>
      </c>
      <c r="K14" s="28" t="s">
        <v>504</v>
      </c>
      <c r="L14" s="28" t="s">
        <v>255</v>
      </c>
      <c r="M14" s="28" t="s">
        <v>459</v>
      </c>
      <c r="N14" s="28" t="s">
        <v>492</v>
      </c>
      <c r="O14" s="44" t="s">
        <v>365</v>
      </c>
      <c r="P14" s="66"/>
    </row>
    <row r="15" ht="33.75" customHeight="1">
      <c r="A15" s="21">
        <v>11.0</v>
      </c>
      <c r="B15" s="15" t="s">
        <v>373</v>
      </c>
      <c r="C15" s="12" t="s">
        <v>508</v>
      </c>
      <c r="D15" s="17" t="str">
        <f t="array" ref="D15">IFERROR(INDEX('3. Mũi- Bo truy van Master'!$U$5:$U$19,MATCH(B15,'3. Mũi- Bo truy van Master'!$S$5:$S$19,0)),"")</f>
        <v>B · Đòn bẩy chuyển đổi</v>
      </c>
      <c r="E15" s="17" t="s">
        <v>61</v>
      </c>
      <c r="F15" s="21">
        <f>COUNTIF('3. Mũi- Bo truy van Master'!$B$5:$B$400,B15&amp;"*")</f>
        <v>20</v>
      </c>
      <c r="G15" s="21">
        <f>COUNTIFS('3. Mũi- Bo truy van Master'!$B$5:$B$400,B15&amp;"*",'3. Mũi- Bo truy van Master'!$I$5:$I$400,"CORE 80/20")</f>
        <v>0</v>
      </c>
      <c r="H15" s="24">
        <f>IFERROR(SUMIF('3. Mũi- Bo truy van Master'!$B$5:$B$400,B15&amp;"*",'3. Mũi- Bo truy van Master'!$L$5:$L$400)/SUM('3. Mũi- Bo truy van Master'!$L$5:$L$400),0)</f>
        <v>0.03228593025</v>
      </c>
      <c r="I15" s="17" t="s">
        <v>523</v>
      </c>
      <c r="J15" s="67">
        <v>7.0</v>
      </c>
      <c r="K15" s="17" t="s">
        <v>524</v>
      </c>
      <c r="L15" s="17" t="s">
        <v>491</v>
      </c>
      <c r="M15" s="17" t="s">
        <v>459</v>
      </c>
      <c r="N15" s="17" t="s">
        <v>525</v>
      </c>
      <c r="O15" s="44" t="s">
        <v>365</v>
      </c>
      <c r="P15" s="66"/>
    </row>
    <row r="16" ht="46.5" customHeight="1">
      <c r="A16" s="21">
        <v>9.0</v>
      </c>
      <c r="B16" s="15" t="s">
        <v>339</v>
      </c>
      <c r="C16" s="12" t="s">
        <v>526</v>
      </c>
      <c r="D16" s="17" t="str">
        <f t="array" ref="D16">IFERROR(INDEX('3. Mũi- Bo truy van Master'!$U$5:$U$19,MATCH(B16,'3. Mũi- Bo truy van Master'!$S$5:$S$19,0)),"")</f>
        <v>C · Uy tín &amp; giữ chân</v>
      </c>
      <c r="E16" s="17" t="s">
        <v>61</v>
      </c>
      <c r="F16" s="21">
        <f>COUNTIF('3. Mũi- Bo truy van Master'!$B$5:$B$400,B16&amp;"*")</f>
        <v>16</v>
      </c>
      <c r="G16" s="21">
        <f>COUNTIFS('3. Mũi- Bo truy van Master'!$B$5:$B$400,B16&amp;"*",'3. Mũi- Bo truy van Master'!$I$5:$I$400,"CORE 80/20")</f>
        <v>0</v>
      </c>
      <c r="H16" s="24">
        <f>IFERROR(SUMIF('3. Mũi- Bo truy van Master'!$B$5:$B$400,B16&amp;"*",'3. Mũi- Bo truy van Master'!$L$5:$L$400)/SUM('3. Mũi- Bo truy van Master'!$L$5:$L$400),0)</f>
        <v>0.04599935212</v>
      </c>
      <c r="I16" s="17" t="s">
        <v>536</v>
      </c>
      <c r="J16" s="67" t="s">
        <v>537</v>
      </c>
      <c r="K16" s="17" t="s">
        <v>539</v>
      </c>
      <c r="L16" s="17" t="s">
        <v>199</v>
      </c>
      <c r="M16" s="17" t="s">
        <v>541</v>
      </c>
      <c r="N16" s="17" t="s">
        <v>542</v>
      </c>
      <c r="O16" s="44" t="s">
        <v>365</v>
      </c>
      <c r="P16" s="66"/>
    </row>
    <row r="17" ht="46.5" customHeight="1">
      <c r="A17" s="30">
        <v>12.0</v>
      </c>
      <c r="B17" s="27" t="s">
        <v>124</v>
      </c>
      <c r="C17" s="26" t="s">
        <v>543</v>
      </c>
      <c r="D17" s="28" t="str">
        <f t="array" ref="D17">IFERROR(INDEX('3. Mũi- Bo truy van Master'!$U$5:$U$19,MATCH(B17,'3. Mũi- Bo truy van Master'!$S$5:$S$19,0)),"")</f>
        <v>C · Uy tín &amp; giữ chân</v>
      </c>
      <c r="E17" s="28" t="s">
        <v>114</v>
      </c>
      <c r="F17" s="30">
        <f>COUNTIF('3. Mũi- Bo truy van Master'!$B$5:$B$400,B17&amp;"*")</f>
        <v>20</v>
      </c>
      <c r="G17" s="30">
        <f>COUNTIFS('3. Mũi- Bo truy van Master'!$B$5:$B$400,B17&amp;"*",'3. Mũi- Bo truy van Master'!$I$5:$I$400,"CORE 80/20")</f>
        <v>0</v>
      </c>
      <c r="H17" s="35">
        <f>IFERROR(SUMIF('3. Mũi- Bo truy van Master'!$B$5:$B$400,B17&amp;"*",'3. Mũi- Bo truy van Master'!$L$5:$L$400)/SUM('3. Mũi- Bo truy van Master'!$L$5:$L$400),0)</f>
        <v>0.02494331066</v>
      </c>
      <c r="I17" s="28" t="s">
        <v>549</v>
      </c>
      <c r="J17" s="67" t="s">
        <v>537</v>
      </c>
      <c r="K17" s="28" t="s">
        <v>552</v>
      </c>
      <c r="L17" s="28" t="s">
        <v>199</v>
      </c>
      <c r="M17" s="28" t="s">
        <v>541</v>
      </c>
      <c r="N17" s="28" t="s">
        <v>554</v>
      </c>
      <c r="O17" s="44" t="s">
        <v>365</v>
      </c>
      <c r="P17" s="66"/>
    </row>
    <row r="18" ht="46.5" customHeight="1">
      <c r="A18" s="21">
        <v>13.0</v>
      </c>
      <c r="B18" s="15" t="s">
        <v>137</v>
      </c>
      <c r="C18" s="12" t="s">
        <v>557</v>
      </c>
      <c r="D18" s="17" t="str">
        <f t="array" ref="D18">IFERROR(INDEX('3. Mũi- Bo truy van Master'!$U$5:$U$19,MATCH(B18,'3. Mũi- Bo truy van Master'!$S$5:$S$19,0)),"")</f>
        <v>C · Uy tín &amp; giữ chân</v>
      </c>
      <c r="E18" s="17" t="s">
        <v>127</v>
      </c>
      <c r="F18" s="21">
        <f>COUNTIF('3. Mũi- Bo truy van Master'!$B$5:$B$400,B18&amp;"*")</f>
        <v>14</v>
      </c>
      <c r="G18" s="21">
        <f>COUNTIFS('3. Mũi- Bo truy van Master'!$B$5:$B$400,B18&amp;"*",'3. Mũi- Bo truy van Master'!$I$5:$I$400,"CORE 80/20")</f>
        <v>0</v>
      </c>
      <c r="H18" s="24">
        <f>IFERROR(SUMIF('3. Mũi- Bo truy van Master'!$B$5:$B$400,B18&amp;"*",'3. Mũi- Bo truy van Master'!$L$5:$L$400)/SUM('3. Mũi- Bo truy van Master'!$L$5:$L$400),0)</f>
        <v>0.02429543246</v>
      </c>
      <c r="I18" s="17" t="s">
        <v>565</v>
      </c>
      <c r="J18" s="67" t="s">
        <v>537</v>
      </c>
      <c r="K18" s="17" t="s">
        <v>567</v>
      </c>
      <c r="L18" s="17" t="s">
        <v>255</v>
      </c>
      <c r="M18" s="17" t="s">
        <v>541</v>
      </c>
      <c r="N18" s="17" t="s">
        <v>569</v>
      </c>
      <c r="O18" s="44" t="s">
        <v>365</v>
      </c>
      <c r="P18" s="66"/>
    </row>
    <row r="19" ht="46.5" customHeight="1">
      <c r="A19" s="30">
        <v>14.0</v>
      </c>
      <c r="B19" s="27" t="s">
        <v>430</v>
      </c>
      <c r="C19" s="26" t="s">
        <v>570</v>
      </c>
      <c r="D19" s="28" t="str">
        <f t="array" ref="D19">IFERROR(INDEX('3. Mũi- Bo truy van Master'!$U$5:$U$19,MATCH(B19,'3. Mũi- Bo truy van Master'!$S$5:$S$19,0)),"")</f>
        <v>D · Cửa vào rộng</v>
      </c>
      <c r="E19" s="28" t="s">
        <v>37</v>
      </c>
      <c r="F19" s="30">
        <f>COUNTIF('3. Mũi- Bo truy van Master'!$B$5:$B$400,B19&amp;"*")</f>
        <v>19</v>
      </c>
      <c r="G19" s="30">
        <f>COUNTIFS('3. Mũi- Bo truy van Master'!$B$5:$B$400,B19&amp;"*",'3. Mũi- Bo truy van Master'!$I$5:$I$400,"CORE 80/20")</f>
        <v>0</v>
      </c>
      <c r="H19" s="35">
        <f>IFERROR(SUMIF('3. Mũi- Bo truy van Master'!$B$5:$B$400,B19&amp;"*",'3. Mũi- Bo truy van Master'!$L$5:$L$400)/SUM('3. Mũi- Bo truy van Master'!$L$5:$L$400),0)</f>
        <v>0.01900442717</v>
      </c>
      <c r="I19" s="28" t="s">
        <v>576</v>
      </c>
      <c r="J19" s="67" t="s">
        <v>537</v>
      </c>
      <c r="K19" s="28" t="s">
        <v>577</v>
      </c>
      <c r="L19" s="28" t="s">
        <v>491</v>
      </c>
      <c r="M19" s="28" t="s">
        <v>578</v>
      </c>
      <c r="N19" s="28" t="s">
        <v>569</v>
      </c>
      <c r="O19" s="44" t="s">
        <v>365</v>
      </c>
      <c r="P19" s="66"/>
    </row>
    <row r="20" ht="33.75" customHeight="1">
      <c r="A20" s="21">
        <v>15.0</v>
      </c>
      <c r="B20" s="15" t="s">
        <v>449</v>
      </c>
      <c r="C20" s="12" t="s">
        <v>584</v>
      </c>
      <c r="D20" s="17" t="str">
        <f t="array" ref="D20">IFERROR(INDEX('3. Mũi- Bo truy van Master'!$U$5:$U$19,MATCH(B20,'3. Mũi- Bo truy van Master'!$S$5:$S$19,0)),"")</f>
        <v>D · Cửa vào rộng</v>
      </c>
      <c r="E20" s="17" t="s">
        <v>37</v>
      </c>
      <c r="F20" s="21">
        <f>COUNTIF('3. Mũi- Bo truy van Master'!$B$5:$B$400,B20&amp;"*")</f>
        <v>18</v>
      </c>
      <c r="G20" s="21">
        <f>COUNTIFS('3. Mũi- Bo truy van Master'!$B$5:$B$400,B20&amp;"*",'3. Mũi- Bo truy van Master'!$I$5:$I$400,"CORE 80/20")</f>
        <v>0</v>
      </c>
      <c r="H20" s="24">
        <f>IFERROR(SUMIF('3. Mũi- Bo truy van Master'!$B$5:$B$400,B20&amp;"*",'3. Mũi- Bo truy van Master'!$L$5:$L$400)/SUM('3. Mũi- Bo truy van Master'!$L$5:$L$400),0)</f>
        <v>0.01446927978</v>
      </c>
      <c r="I20" s="17" t="s">
        <v>591</v>
      </c>
      <c r="J20" s="67" t="s">
        <v>537</v>
      </c>
      <c r="K20" s="17" t="s">
        <v>592</v>
      </c>
      <c r="L20" s="17" t="s">
        <v>491</v>
      </c>
      <c r="M20" s="17" t="s">
        <v>578</v>
      </c>
      <c r="N20" s="17" t="s">
        <v>492</v>
      </c>
      <c r="O20" s="44" t="s">
        <v>365</v>
      </c>
      <c r="P20" s="66"/>
    </row>
    <row r="21">
      <c r="A21" s="82"/>
      <c r="B21" s="82"/>
      <c r="C21" s="83" t="s">
        <v>468</v>
      </c>
      <c r="D21" s="82"/>
      <c r="E21" s="82"/>
      <c r="F21" s="85">
        <f t="shared" ref="F21:H21" si="1">SUM(F6:F20)</f>
        <v>262</v>
      </c>
      <c r="G21" s="85">
        <f t="shared" si="1"/>
        <v>70</v>
      </c>
      <c r="H21" s="86">
        <f t="shared" si="1"/>
        <v>1</v>
      </c>
      <c r="I21" s="82"/>
      <c r="J21" s="87"/>
      <c r="K21" s="82"/>
      <c r="L21" s="82"/>
      <c r="M21" s="82"/>
      <c r="N21" s="82"/>
      <c r="O21" s="82"/>
      <c r="P21" s="82"/>
    </row>
    <row r="22" ht="15.75" customHeight="1">
      <c r="J22" s="88"/>
      <c r="M22" s="43"/>
      <c r="O22" s="43"/>
    </row>
    <row r="23" ht="15.75" customHeight="1">
      <c r="J23" s="88"/>
      <c r="M23" s="43"/>
      <c r="O23" s="43"/>
    </row>
    <row r="24" ht="15.75" customHeight="1">
      <c r="J24" s="88"/>
      <c r="M24" s="43"/>
      <c r="O24" s="43"/>
    </row>
    <row r="25" ht="15.75" customHeight="1">
      <c r="J25" s="88"/>
      <c r="M25" s="43"/>
      <c r="O25" s="43"/>
    </row>
    <row r="26" ht="15.75" customHeight="1">
      <c r="J26" s="88"/>
      <c r="M26" s="43"/>
      <c r="O26" s="43"/>
    </row>
    <row r="27" ht="15.75" customHeight="1">
      <c r="J27" s="88"/>
      <c r="M27" s="43"/>
      <c r="O27" s="43"/>
    </row>
    <row r="28" ht="15.75" customHeight="1">
      <c r="J28" s="88"/>
      <c r="M28" s="43"/>
      <c r="O28" s="43"/>
    </row>
    <row r="29" ht="15.75" customHeight="1">
      <c r="J29" s="88"/>
      <c r="M29" s="43"/>
      <c r="O29" s="43"/>
    </row>
    <row r="30" ht="15.75" customHeight="1">
      <c r="J30" s="88"/>
      <c r="M30" s="43"/>
      <c r="O30" s="43"/>
    </row>
    <row r="31" ht="15.75" customHeight="1">
      <c r="J31" s="88"/>
      <c r="M31" s="43"/>
      <c r="O31" s="43"/>
    </row>
    <row r="32" ht="15.75" customHeight="1">
      <c r="J32" s="88"/>
      <c r="M32" s="43"/>
      <c r="O32" s="43"/>
    </row>
    <row r="33" ht="15.75" customHeight="1">
      <c r="J33" s="88"/>
      <c r="M33" s="43"/>
      <c r="O33" s="43"/>
    </row>
    <row r="34" ht="15.75" customHeight="1">
      <c r="J34" s="88"/>
      <c r="M34" s="43"/>
      <c r="O34" s="43"/>
    </row>
    <row r="35" ht="15.75" customHeight="1">
      <c r="J35" s="88"/>
      <c r="M35" s="43"/>
      <c r="O35" s="43"/>
    </row>
    <row r="36" ht="15.75" customHeight="1">
      <c r="J36" s="88"/>
      <c r="M36" s="43"/>
      <c r="O36" s="43"/>
    </row>
    <row r="37" ht="15.75" customHeight="1">
      <c r="J37" s="88"/>
      <c r="M37" s="43"/>
      <c r="O37" s="43"/>
    </row>
    <row r="38" ht="15.75" customHeight="1">
      <c r="J38" s="88"/>
      <c r="M38" s="43"/>
      <c r="O38" s="43"/>
    </row>
    <row r="39" ht="15.75" customHeight="1">
      <c r="J39" s="88"/>
      <c r="M39" s="43"/>
      <c r="O39" s="43"/>
    </row>
    <row r="40" ht="15.75" customHeight="1">
      <c r="J40" s="88"/>
      <c r="M40" s="43"/>
      <c r="O40" s="43"/>
    </row>
    <row r="41" ht="15.75" customHeight="1">
      <c r="J41" s="88"/>
      <c r="M41" s="43"/>
      <c r="O41" s="43"/>
    </row>
    <row r="42" ht="15.75" customHeight="1">
      <c r="J42" s="88"/>
      <c r="M42" s="43"/>
      <c r="O42" s="43"/>
    </row>
    <row r="43" ht="15.75" customHeight="1">
      <c r="J43" s="88"/>
      <c r="M43" s="43"/>
      <c r="O43" s="43"/>
    </row>
    <row r="44" ht="15.75" customHeight="1">
      <c r="J44" s="88"/>
      <c r="M44" s="43"/>
      <c r="O44" s="43"/>
    </row>
    <row r="45" ht="15.75" customHeight="1">
      <c r="J45" s="88"/>
      <c r="M45" s="43"/>
      <c r="O45" s="43"/>
    </row>
    <row r="46" ht="15.75" customHeight="1">
      <c r="J46" s="88"/>
      <c r="M46" s="43"/>
      <c r="O46" s="43"/>
    </row>
    <row r="47" ht="15.75" customHeight="1">
      <c r="J47" s="88"/>
      <c r="M47" s="43"/>
      <c r="O47" s="43"/>
    </row>
    <row r="48" ht="15.75" customHeight="1">
      <c r="J48" s="88"/>
      <c r="M48" s="43"/>
      <c r="O48" s="43"/>
    </row>
    <row r="49" ht="15.75" customHeight="1">
      <c r="J49" s="88"/>
      <c r="M49" s="43"/>
      <c r="O49" s="43"/>
    </row>
    <row r="50" ht="15.75" customHeight="1">
      <c r="J50" s="88"/>
      <c r="M50" s="43"/>
      <c r="O50" s="43"/>
    </row>
    <row r="51" ht="15.75" customHeight="1">
      <c r="J51" s="88"/>
      <c r="M51" s="43"/>
      <c r="O51" s="43"/>
    </row>
    <row r="52" ht="15.75" customHeight="1">
      <c r="J52" s="88"/>
      <c r="M52" s="43"/>
      <c r="O52" s="43"/>
    </row>
    <row r="53" ht="15.75" customHeight="1">
      <c r="J53" s="88"/>
      <c r="M53" s="43"/>
      <c r="O53" s="43"/>
    </row>
    <row r="54" ht="15.75" customHeight="1">
      <c r="J54" s="88"/>
      <c r="M54" s="43"/>
      <c r="O54" s="43"/>
    </row>
    <row r="55" ht="15.75" customHeight="1">
      <c r="J55" s="88"/>
      <c r="M55" s="43"/>
      <c r="O55" s="43"/>
    </row>
    <row r="56" ht="15.75" customHeight="1">
      <c r="J56" s="88"/>
      <c r="M56" s="43"/>
      <c r="O56" s="43"/>
    </row>
    <row r="57" ht="15.75" customHeight="1">
      <c r="J57" s="88"/>
      <c r="M57" s="43"/>
      <c r="O57" s="43"/>
    </row>
    <row r="58" ht="15.75" customHeight="1">
      <c r="J58" s="88"/>
      <c r="M58" s="43"/>
      <c r="O58" s="43"/>
    </row>
    <row r="59" ht="15.75" customHeight="1">
      <c r="J59" s="88"/>
      <c r="M59" s="43"/>
      <c r="O59" s="43"/>
    </row>
    <row r="60" ht="15.75" customHeight="1">
      <c r="J60" s="88"/>
      <c r="M60" s="43"/>
      <c r="O60" s="43"/>
    </row>
    <row r="61" ht="15.75" customHeight="1">
      <c r="J61" s="88"/>
      <c r="M61" s="43"/>
      <c r="O61" s="43"/>
    </row>
    <row r="62" ht="15.75" customHeight="1">
      <c r="J62" s="88"/>
    </row>
    <row r="63" ht="15.75" customHeight="1">
      <c r="J63" s="88"/>
    </row>
    <row r="64" ht="15.75" customHeight="1">
      <c r="J64" s="88"/>
    </row>
    <row r="65" ht="15.75" customHeight="1">
      <c r="J65" s="88"/>
    </row>
    <row r="66" ht="15.75" customHeight="1">
      <c r="J66" s="88"/>
    </row>
    <row r="67" ht="15.75" customHeight="1">
      <c r="J67" s="88"/>
    </row>
    <row r="68" ht="15.75" customHeight="1">
      <c r="J68" s="88"/>
    </row>
    <row r="69" ht="15.75" customHeight="1">
      <c r="J69" s="88"/>
    </row>
    <row r="70" ht="15.75" customHeight="1">
      <c r="J70" s="88"/>
    </row>
    <row r="71" ht="15.75" customHeight="1">
      <c r="J71" s="88"/>
    </row>
    <row r="72" ht="15.75" customHeight="1">
      <c r="J72" s="88"/>
    </row>
    <row r="73" ht="15.75" customHeight="1">
      <c r="J73" s="88"/>
    </row>
    <row r="74" ht="15.75" customHeight="1">
      <c r="J74" s="88"/>
    </row>
    <row r="75" ht="15.75" customHeight="1">
      <c r="J75" s="88"/>
    </row>
    <row r="76" ht="15.75" customHeight="1">
      <c r="J76" s="88"/>
    </row>
    <row r="77" ht="15.75" customHeight="1">
      <c r="J77" s="88"/>
    </row>
    <row r="78" ht="15.75" customHeight="1">
      <c r="J78" s="88"/>
    </row>
    <row r="79" ht="15.75" customHeight="1">
      <c r="J79" s="88"/>
    </row>
    <row r="80" ht="15.75" customHeight="1">
      <c r="J80" s="88"/>
    </row>
    <row r="81" ht="15.75" customHeight="1">
      <c r="J81" s="88"/>
    </row>
    <row r="82" ht="15.75" customHeight="1">
      <c r="J82" s="88"/>
    </row>
    <row r="83" ht="15.75" customHeight="1">
      <c r="J83" s="88"/>
    </row>
    <row r="84" ht="15.75" customHeight="1">
      <c r="J84" s="88"/>
    </row>
    <row r="85" ht="15.75" customHeight="1">
      <c r="J85" s="88"/>
    </row>
    <row r="86" ht="15.75" customHeight="1">
      <c r="J86" s="88"/>
    </row>
    <row r="87" ht="15.75" customHeight="1">
      <c r="J87" s="88"/>
    </row>
    <row r="88" ht="15.75" customHeight="1">
      <c r="J88" s="88"/>
    </row>
    <row r="89" ht="15.75" customHeight="1">
      <c r="J89" s="88"/>
    </row>
    <row r="90" ht="15.75" customHeight="1">
      <c r="J90" s="88"/>
    </row>
    <row r="91" ht="15.75" customHeight="1">
      <c r="J91" s="88"/>
    </row>
    <row r="92" ht="15.75" customHeight="1">
      <c r="J92" s="88"/>
    </row>
    <row r="93" ht="15.75" customHeight="1">
      <c r="J93" s="88"/>
    </row>
    <row r="94" ht="15.75" customHeight="1">
      <c r="J94" s="88"/>
    </row>
    <row r="95" ht="15.75" customHeight="1">
      <c r="J95" s="88"/>
    </row>
    <row r="96" ht="15.75" customHeight="1">
      <c r="J96" s="88"/>
    </row>
    <row r="97" ht="15.75" customHeight="1">
      <c r="J97" s="88"/>
    </row>
    <row r="98" ht="15.75" customHeight="1">
      <c r="J98" s="88"/>
    </row>
    <row r="99" ht="15.75" customHeight="1">
      <c r="J99" s="88"/>
    </row>
    <row r="100" ht="15.75" customHeight="1">
      <c r="J100" s="88"/>
    </row>
    <row r="101" ht="15.75" customHeight="1">
      <c r="J101" s="88"/>
    </row>
    <row r="102" ht="15.75" customHeight="1">
      <c r="J102" s="88"/>
    </row>
    <row r="103" ht="15.75" customHeight="1">
      <c r="J103" s="88"/>
    </row>
    <row r="104" ht="15.75" customHeight="1">
      <c r="J104" s="88"/>
    </row>
    <row r="105" ht="15.75" customHeight="1">
      <c r="J105" s="88"/>
    </row>
    <row r="106" ht="15.75" customHeight="1">
      <c r="J106" s="88"/>
    </row>
    <row r="107" ht="15.75" customHeight="1">
      <c r="J107" s="88"/>
    </row>
    <row r="108" ht="15.75" customHeight="1">
      <c r="J108" s="88"/>
    </row>
    <row r="109" ht="15.75" customHeight="1">
      <c r="J109" s="88"/>
    </row>
    <row r="110" ht="15.75" customHeight="1">
      <c r="J110" s="88"/>
    </row>
    <row r="111" ht="15.75" customHeight="1">
      <c r="J111" s="88"/>
    </row>
    <row r="112" ht="15.75" customHeight="1">
      <c r="J112" s="88"/>
    </row>
    <row r="113" ht="15.75" customHeight="1">
      <c r="J113" s="88"/>
    </row>
    <row r="114" ht="15.75" customHeight="1">
      <c r="J114" s="88"/>
    </row>
    <row r="115" ht="15.75" customHeight="1">
      <c r="J115" s="88"/>
    </row>
    <row r="116" ht="15.75" customHeight="1">
      <c r="J116" s="88"/>
    </row>
    <row r="117" ht="15.75" customHeight="1">
      <c r="J117" s="88"/>
    </row>
    <row r="118" ht="15.75" customHeight="1">
      <c r="J118" s="88"/>
    </row>
    <row r="119" ht="15.75" customHeight="1">
      <c r="J119" s="88"/>
    </row>
    <row r="120" ht="15.75" customHeight="1">
      <c r="J120" s="88"/>
    </row>
    <row r="121" ht="15.75" customHeight="1">
      <c r="J121" s="88"/>
    </row>
    <row r="122" ht="15.75" customHeight="1">
      <c r="J122" s="88"/>
    </row>
    <row r="123" ht="15.75" customHeight="1">
      <c r="J123" s="88"/>
    </row>
    <row r="124" ht="15.75" customHeight="1">
      <c r="J124" s="88"/>
    </row>
    <row r="125" ht="15.75" customHeight="1">
      <c r="J125" s="88"/>
    </row>
    <row r="126" ht="15.75" customHeight="1">
      <c r="J126" s="88"/>
    </row>
    <row r="127" ht="15.75" customHeight="1">
      <c r="J127" s="88"/>
    </row>
    <row r="128" ht="15.75" customHeight="1">
      <c r="J128" s="88"/>
    </row>
    <row r="129" ht="15.75" customHeight="1">
      <c r="J129" s="88"/>
    </row>
    <row r="130" ht="15.75" customHeight="1">
      <c r="J130" s="88"/>
    </row>
    <row r="131" ht="15.75" customHeight="1">
      <c r="J131" s="88"/>
    </row>
    <row r="132" ht="15.75" customHeight="1">
      <c r="J132" s="88"/>
    </row>
    <row r="133" ht="15.75" customHeight="1">
      <c r="J133" s="88"/>
    </row>
    <row r="134" ht="15.75" customHeight="1">
      <c r="J134" s="88"/>
    </row>
    <row r="135" ht="15.75" customHeight="1">
      <c r="J135" s="88"/>
    </row>
    <row r="136" ht="15.75" customHeight="1">
      <c r="J136" s="88"/>
    </row>
    <row r="137" ht="15.75" customHeight="1">
      <c r="J137" s="88"/>
    </row>
    <row r="138" ht="15.75" customHeight="1">
      <c r="J138" s="88"/>
    </row>
    <row r="139" ht="15.75" customHeight="1">
      <c r="J139" s="88"/>
    </row>
    <row r="140" ht="15.75" customHeight="1">
      <c r="J140" s="88"/>
    </row>
    <row r="141" ht="15.75" customHeight="1">
      <c r="J141" s="88"/>
    </row>
    <row r="142" ht="15.75" customHeight="1">
      <c r="J142" s="88"/>
    </row>
    <row r="143" ht="15.75" customHeight="1">
      <c r="J143" s="88"/>
    </row>
    <row r="144" ht="15.75" customHeight="1">
      <c r="J144" s="88"/>
    </row>
    <row r="145" ht="15.75" customHeight="1">
      <c r="J145" s="88"/>
    </row>
    <row r="146" ht="15.75" customHeight="1">
      <c r="J146" s="88"/>
    </row>
    <row r="147" ht="15.75" customHeight="1">
      <c r="J147" s="88"/>
    </row>
    <row r="148" ht="15.75" customHeight="1">
      <c r="J148" s="88"/>
    </row>
    <row r="149" ht="15.75" customHeight="1">
      <c r="J149" s="88"/>
    </row>
    <row r="150" ht="15.75" customHeight="1">
      <c r="J150" s="88"/>
    </row>
    <row r="151" ht="15.75" customHeight="1">
      <c r="J151" s="88"/>
    </row>
    <row r="152" ht="15.75" customHeight="1">
      <c r="J152" s="88"/>
    </row>
    <row r="153" ht="15.75" customHeight="1">
      <c r="J153" s="88"/>
    </row>
    <row r="154" ht="15.75" customHeight="1">
      <c r="J154" s="88"/>
    </row>
    <row r="155" ht="15.75" customHeight="1">
      <c r="J155" s="88"/>
    </row>
    <row r="156" ht="15.75" customHeight="1">
      <c r="J156" s="88"/>
    </row>
    <row r="157" ht="15.75" customHeight="1">
      <c r="J157" s="88"/>
    </row>
    <row r="158" ht="15.75" customHeight="1">
      <c r="J158" s="88"/>
    </row>
    <row r="159" ht="15.75" customHeight="1">
      <c r="J159" s="88"/>
    </row>
    <row r="160" ht="15.75" customHeight="1">
      <c r="J160" s="88"/>
    </row>
    <row r="161" ht="15.75" customHeight="1">
      <c r="J161" s="88"/>
    </row>
    <row r="162" ht="15.75" customHeight="1">
      <c r="J162" s="88"/>
    </row>
    <row r="163" ht="15.75" customHeight="1">
      <c r="J163" s="88"/>
    </row>
    <row r="164" ht="15.75" customHeight="1">
      <c r="J164" s="88"/>
    </row>
    <row r="165" ht="15.75" customHeight="1">
      <c r="J165" s="88"/>
    </row>
    <row r="166" ht="15.75" customHeight="1">
      <c r="J166" s="88"/>
    </row>
    <row r="167" ht="15.75" customHeight="1">
      <c r="J167" s="88"/>
    </row>
    <row r="168" ht="15.75" customHeight="1">
      <c r="J168" s="88"/>
    </row>
    <row r="169" ht="15.75" customHeight="1">
      <c r="J169" s="88"/>
    </row>
    <row r="170" ht="15.75" customHeight="1">
      <c r="J170" s="88"/>
    </row>
    <row r="171" ht="15.75" customHeight="1">
      <c r="J171" s="88"/>
    </row>
    <row r="172" ht="15.75" customHeight="1">
      <c r="J172" s="88"/>
    </row>
    <row r="173" ht="15.75" customHeight="1">
      <c r="J173" s="88"/>
    </row>
    <row r="174" ht="15.75" customHeight="1">
      <c r="J174" s="88"/>
    </row>
    <row r="175" ht="15.75" customHeight="1">
      <c r="J175" s="88"/>
    </row>
    <row r="176" ht="15.75" customHeight="1">
      <c r="J176" s="88"/>
    </row>
    <row r="177" ht="15.75" customHeight="1">
      <c r="J177" s="88"/>
    </row>
    <row r="178" ht="15.75" customHeight="1">
      <c r="J178" s="88"/>
    </row>
    <row r="179" ht="15.75" customHeight="1">
      <c r="J179" s="88"/>
    </row>
    <row r="180" ht="15.75" customHeight="1">
      <c r="J180" s="88"/>
    </row>
    <row r="181" ht="15.75" customHeight="1">
      <c r="J181" s="88"/>
    </row>
    <row r="182" ht="15.75" customHeight="1">
      <c r="J182" s="88"/>
    </row>
    <row r="183" ht="15.75" customHeight="1">
      <c r="J183" s="88"/>
    </row>
    <row r="184" ht="15.75" customHeight="1">
      <c r="J184" s="88"/>
    </row>
    <row r="185" ht="15.75" customHeight="1">
      <c r="J185" s="88"/>
    </row>
    <row r="186" ht="15.75" customHeight="1">
      <c r="J186" s="88"/>
    </row>
    <row r="187" ht="15.75" customHeight="1">
      <c r="J187" s="88"/>
    </row>
    <row r="188" ht="15.75" customHeight="1">
      <c r="J188" s="88"/>
    </row>
    <row r="189" ht="15.75" customHeight="1">
      <c r="J189" s="88"/>
    </row>
    <row r="190" ht="15.75" customHeight="1">
      <c r="J190" s="88"/>
    </row>
    <row r="191" ht="15.75" customHeight="1">
      <c r="J191" s="88"/>
    </row>
    <row r="192" ht="15.75" customHeight="1">
      <c r="J192" s="88"/>
    </row>
    <row r="193" ht="15.75" customHeight="1">
      <c r="J193" s="88"/>
    </row>
    <row r="194" ht="15.75" customHeight="1">
      <c r="J194" s="88"/>
    </row>
    <row r="195" ht="15.75" customHeight="1">
      <c r="J195" s="88"/>
    </row>
    <row r="196" ht="15.75" customHeight="1">
      <c r="J196" s="88"/>
    </row>
    <row r="197" ht="15.75" customHeight="1">
      <c r="J197" s="88"/>
    </row>
    <row r="198" ht="15.75" customHeight="1">
      <c r="J198" s="88"/>
    </row>
    <row r="199" ht="15.75" customHeight="1">
      <c r="J199" s="88"/>
    </row>
    <row r="200" ht="15.75" customHeight="1">
      <c r="J200" s="88"/>
    </row>
    <row r="201" ht="15.75" customHeight="1">
      <c r="J201" s="88"/>
    </row>
    <row r="202" ht="15.75" customHeight="1">
      <c r="J202" s="88"/>
    </row>
    <row r="203" ht="15.75" customHeight="1">
      <c r="J203" s="88"/>
    </row>
    <row r="204" ht="15.75" customHeight="1">
      <c r="J204" s="88"/>
    </row>
    <row r="205" ht="15.75" customHeight="1">
      <c r="J205" s="88"/>
    </row>
    <row r="206" ht="15.75" customHeight="1">
      <c r="J206" s="88"/>
    </row>
    <row r="207" ht="15.75" customHeight="1">
      <c r="J207" s="88"/>
    </row>
    <row r="208" ht="15.75" customHeight="1">
      <c r="J208" s="88"/>
    </row>
    <row r="209" ht="15.75" customHeight="1">
      <c r="J209" s="88"/>
    </row>
    <row r="210" ht="15.75" customHeight="1">
      <c r="J210" s="88"/>
    </row>
    <row r="211" ht="15.75" customHeight="1">
      <c r="J211" s="88"/>
    </row>
    <row r="212" ht="15.75" customHeight="1">
      <c r="J212" s="88"/>
    </row>
    <row r="213" ht="15.75" customHeight="1">
      <c r="J213" s="88"/>
    </row>
    <row r="214" ht="15.75" customHeight="1">
      <c r="J214" s="88"/>
    </row>
    <row r="215" ht="15.75" customHeight="1">
      <c r="J215" s="88"/>
    </row>
    <row r="216" ht="15.75" customHeight="1">
      <c r="J216" s="88"/>
    </row>
    <row r="217" ht="15.75" customHeight="1">
      <c r="J217" s="88"/>
    </row>
    <row r="218" ht="15.75" customHeight="1">
      <c r="J218" s="88"/>
    </row>
    <row r="219" ht="15.75" customHeight="1">
      <c r="J219" s="88"/>
    </row>
    <row r="220" ht="15.75" customHeight="1">
      <c r="J220" s="88"/>
    </row>
    <row r="221" ht="15.75" customHeight="1">
      <c r="J221" s="88"/>
    </row>
    <row r="222" ht="15.75" customHeight="1">
      <c r="J222" s="88"/>
    </row>
    <row r="223" ht="15.75" customHeight="1">
      <c r="J223" s="88"/>
    </row>
    <row r="224" ht="15.75" customHeight="1">
      <c r="J224" s="88"/>
    </row>
    <row r="225" ht="15.75" customHeight="1">
      <c r="J225" s="88"/>
    </row>
    <row r="226" ht="15.75" customHeight="1">
      <c r="J226" s="88"/>
    </row>
    <row r="227" ht="15.75" customHeight="1">
      <c r="J227" s="88"/>
    </row>
    <row r="228" ht="15.75" customHeight="1">
      <c r="J228" s="88"/>
    </row>
    <row r="229" ht="15.75" customHeight="1">
      <c r="J229" s="88"/>
    </row>
    <row r="230" ht="15.75" customHeight="1">
      <c r="J230" s="88"/>
    </row>
    <row r="231" ht="15.75" customHeight="1">
      <c r="J231" s="88"/>
    </row>
    <row r="232" ht="15.75" customHeight="1">
      <c r="J232" s="88"/>
    </row>
    <row r="233" ht="15.75" customHeight="1">
      <c r="J233" s="88"/>
    </row>
    <row r="234" ht="15.75" customHeight="1">
      <c r="J234" s="88"/>
    </row>
    <row r="235" ht="15.75" customHeight="1">
      <c r="J235" s="88"/>
    </row>
    <row r="236" ht="15.75" customHeight="1">
      <c r="J236" s="88"/>
    </row>
    <row r="237" ht="15.75" customHeight="1">
      <c r="J237" s="88"/>
    </row>
    <row r="238" ht="15.75" customHeight="1">
      <c r="J238" s="88"/>
    </row>
    <row r="239" ht="15.75" customHeight="1">
      <c r="J239" s="88"/>
    </row>
    <row r="240" ht="15.75" customHeight="1">
      <c r="J240" s="88"/>
    </row>
    <row r="241" ht="15.75" customHeight="1">
      <c r="J241" s="88"/>
    </row>
    <row r="242" ht="15.75" customHeight="1">
      <c r="J242" s="88"/>
    </row>
    <row r="243" ht="15.75" customHeight="1">
      <c r="J243" s="88"/>
    </row>
    <row r="244" ht="15.75" customHeight="1">
      <c r="J244" s="88"/>
    </row>
    <row r="245" ht="15.75" customHeight="1">
      <c r="J245" s="88"/>
    </row>
    <row r="246" ht="15.75" customHeight="1">
      <c r="J246" s="88"/>
    </row>
    <row r="247" ht="15.75" customHeight="1">
      <c r="J247" s="88"/>
    </row>
    <row r="248" ht="15.75" customHeight="1">
      <c r="J248" s="88"/>
    </row>
    <row r="249" ht="15.75" customHeight="1">
      <c r="J249" s="88"/>
    </row>
    <row r="250" ht="15.75" customHeight="1">
      <c r="J250" s="88"/>
    </row>
    <row r="251" ht="15.75" customHeight="1">
      <c r="J251" s="88"/>
    </row>
    <row r="252" ht="15.75" customHeight="1">
      <c r="J252" s="88"/>
    </row>
    <row r="253" ht="15.75" customHeight="1">
      <c r="J253" s="88"/>
    </row>
    <row r="254" ht="15.75" customHeight="1">
      <c r="J254" s="88"/>
    </row>
    <row r="255" ht="15.75" customHeight="1">
      <c r="J255" s="88"/>
    </row>
    <row r="256" ht="15.75" customHeight="1">
      <c r="J256" s="88"/>
    </row>
    <row r="257" ht="15.75" customHeight="1">
      <c r="J257" s="88"/>
    </row>
    <row r="258" ht="15.75" customHeight="1">
      <c r="J258" s="88"/>
    </row>
    <row r="259" ht="15.75" customHeight="1">
      <c r="J259" s="88"/>
    </row>
    <row r="260" ht="15.75" customHeight="1">
      <c r="J260" s="88"/>
    </row>
    <row r="261" ht="15.75" customHeight="1">
      <c r="J261" s="88"/>
    </row>
    <row r="262" ht="15.75" customHeight="1">
      <c r="J262" s="88"/>
    </row>
    <row r="263" ht="15.75" customHeight="1">
      <c r="J263" s="88"/>
    </row>
    <row r="264" ht="15.75" customHeight="1">
      <c r="J264" s="88"/>
    </row>
    <row r="265" ht="15.75" customHeight="1">
      <c r="J265" s="88"/>
    </row>
    <row r="266" ht="15.75" customHeight="1">
      <c r="J266" s="88"/>
    </row>
    <row r="267" ht="15.75" customHeight="1">
      <c r="J267" s="88"/>
    </row>
    <row r="268" ht="15.75" customHeight="1">
      <c r="J268" s="88"/>
    </row>
    <row r="269" ht="15.75" customHeight="1">
      <c r="J269" s="88"/>
    </row>
    <row r="270" ht="15.75" customHeight="1">
      <c r="J270" s="88"/>
    </row>
    <row r="271" ht="15.75" customHeight="1">
      <c r="J271" s="88"/>
    </row>
    <row r="272" ht="15.75" customHeight="1">
      <c r="J272" s="88"/>
    </row>
    <row r="273" ht="15.75" customHeight="1">
      <c r="J273" s="88"/>
    </row>
    <row r="274" ht="15.75" customHeight="1">
      <c r="J274" s="88"/>
    </row>
    <row r="275" ht="15.75" customHeight="1">
      <c r="J275" s="88"/>
    </row>
    <row r="276" ht="15.75" customHeight="1">
      <c r="J276" s="88"/>
    </row>
    <row r="277" ht="15.75" customHeight="1">
      <c r="J277" s="88"/>
    </row>
    <row r="278" ht="15.75" customHeight="1">
      <c r="J278" s="88"/>
    </row>
    <row r="279" ht="15.75" customHeight="1">
      <c r="J279" s="88"/>
    </row>
    <row r="280" ht="15.75" customHeight="1">
      <c r="J280" s="88"/>
    </row>
    <row r="281" ht="15.75" customHeight="1">
      <c r="J281" s="88"/>
    </row>
    <row r="282" ht="15.75" customHeight="1">
      <c r="J282" s="88"/>
    </row>
    <row r="283" ht="15.75" customHeight="1">
      <c r="J283" s="88"/>
    </row>
    <row r="284" ht="15.75" customHeight="1">
      <c r="J284" s="88"/>
    </row>
    <row r="285" ht="15.75" customHeight="1">
      <c r="J285" s="88"/>
    </row>
    <row r="286" ht="15.75" customHeight="1">
      <c r="J286" s="88"/>
    </row>
    <row r="287" ht="15.75" customHeight="1">
      <c r="J287" s="88"/>
    </row>
    <row r="288" ht="15.75" customHeight="1">
      <c r="J288" s="88"/>
    </row>
    <row r="289" ht="15.75" customHeight="1">
      <c r="J289" s="88"/>
    </row>
    <row r="290" ht="15.75" customHeight="1">
      <c r="J290" s="88"/>
    </row>
    <row r="291" ht="15.75" customHeight="1">
      <c r="J291" s="88"/>
    </row>
    <row r="292" ht="15.75" customHeight="1">
      <c r="J292" s="88"/>
    </row>
    <row r="293" ht="15.75" customHeight="1">
      <c r="J293" s="88"/>
    </row>
    <row r="294" ht="15.75" customHeight="1">
      <c r="J294" s="88"/>
    </row>
    <row r="295" ht="15.75" customHeight="1">
      <c r="J295" s="88"/>
    </row>
    <row r="296" ht="15.75" customHeight="1">
      <c r="J296" s="88"/>
    </row>
    <row r="297" ht="15.75" customHeight="1">
      <c r="J297" s="88"/>
    </row>
    <row r="298" ht="15.75" customHeight="1">
      <c r="J298" s="88"/>
    </row>
    <row r="299" ht="15.75" customHeight="1">
      <c r="J299" s="88"/>
    </row>
    <row r="300" ht="15.75" customHeight="1">
      <c r="J300" s="88"/>
    </row>
    <row r="301" ht="15.75" customHeight="1">
      <c r="J301" s="88"/>
    </row>
    <row r="302" ht="15.75" customHeight="1">
      <c r="J302" s="88"/>
    </row>
    <row r="303" ht="15.75" customHeight="1">
      <c r="J303" s="88"/>
    </row>
    <row r="304" ht="15.75" customHeight="1">
      <c r="J304" s="88"/>
    </row>
    <row r="305" ht="15.75" customHeight="1">
      <c r="J305" s="88"/>
    </row>
    <row r="306" ht="15.75" customHeight="1">
      <c r="J306" s="88"/>
    </row>
    <row r="307" ht="15.75" customHeight="1">
      <c r="J307" s="88"/>
    </row>
    <row r="308" ht="15.75" customHeight="1">
      <c r="J308" s="88"/>
    </row>
    <row r="309" ht="15.75" customHeight="1">
      <c r="J309" s="88"/>
    </row>
    <row r="310" ht="15.75" customHeight="1">
      <c r="J310" s="88"/>
    </row>
    <row r="311" ht="15.75" customHeight="1">
      <c r="J311" s="88"/>
    </row>
    <row r="312" ht="15.75" customHeight="1">
      <c r="J312" s="88"/>
    </row>
    <row r="313" ht="15.75" customHeight="1">
      <c r="J313" s="88"/>
    </row>
    <row r="314" ht="15.75" customHeight="1">
      <c r="J314" s="88"/>
    </row>
    <row r="315" ht="15.75" customHeight="1">
      <c r="J315" s="88"/>
    </row>
    <row r="316" ht="15.75" customHeight="1">
      <c r="J316" s="88"/>
    </row>
    <row r="317" ht="15.75" customHeight="1">
      <c r="J317" s="88"/>
    </row>
    <row r="318" ht="15.75" customHeight="1">
      <c r="J318" s="88"/>
    </row>
    <row r="319" ht="15.75" customHeight="1">
      <c r="J319" s="88"/>
    </row>
    <row r="320" ht="15.75" customHeight="1">
      <c r="J320" s="88"/>
    </row>
    <row r="321" ht="15.75" customHeight="1">
      <c r="J321" s="88"/>
    </row>
    <row r="322" ht="15.75" customHeight="1">
      <c r="J322" s="88"/>
    </row>
    <row r="323" ht="15.75" customHeight="1">
      <c r="J323" s="88"/>
    </row>
    <row r="324" ht="15.75" customHeight="1">
      <c r="J324" s="88"/>
    </row>
    <row r="325" ht="15.75" customHeight="1">
      <c r="J325" s="88"/>
    </row>
    <row r="326" ht="15.75" customHeight="1">
      <c r="J326" s="88"/>
    </row>
    <row r="327" ht="15.75" customHeight="1">
      <c r="J327" s="88"/>
    </row>
    <row r="328" ht="15.75" customHeight="1">
      <c r="J328" s="88"/>
    </row>
    <row r="329" ht="15.75" customHeight="1">
      <c r="J329" s="88"/>
    </row>
    <row r="330" ht="15.75" customHeight="1">
      <c r="J330" s="88"/>
    </row>
    <row r="331" ht="15.75" customHeight="1">
      <c r="J331" s="88"/>
    </row>
    <row r="332" ht="15.75" customHeight="1">
      <c r="J332" s="88"/>
    </row>
    <row r="333" ht="15.75" customHeight="1">
      <c r="J333" s="88"/>
    </row>
    <row r="334" ht="15.75" customHeight="1">
      <c r="J334" s="88"/>
    </row>
    <row r="335" ht="15.75" customHeight="1">
      <c r="J335" s="88"/>
    </row>
    <row r="336" ht="15.75" customHeight="1">
      <c r="J336" s="88"/>
    </row>
    <row r="337" ht="15.75" customHeight="1">
      <c r="J337" s="88"/>
    </row>
    <row r="338" ht="15.75" customHeight="1">
      <c r="J338" s="88"/>
    </row>
    <row r="339" ht="15.75" customHeight="1">
      <c r="J339" s="88"/>
    </row>
    <row r="340" ht="15.75" customHeight="1">
      <c r="J340" s="88"/>
    </row>
    <row r="341" ht="15.75" customHeight="1">
      <c r="J341" s="88"/>
    </row>
    <row r="342" ht="15.75" customHeight="1">
      <c r="J342" s="88"/>
    </row>
    <row r="343" ht="15.75" customHeight="1">
      <c r="J343" s="88"/>
    </row>
    <row r="344" ht="15.75" customHeight="1">
      <c r="J344" s="88"/>
    </row>
    <row r="345" ht="15.75" customHeight="1">
      <c r="J345" s="88"/>
    </row>
    <row r="346" ht="15.75" customHeight="1">
      <c r="J346" s="88"/>
    </row>
    <row r="347" ht="15.75" customHeight="1">
      <c r="J347" s="88"/>
    </row>
    <row r="348" ht="15.75" customHeight="1">
      <c r="J348" s="88"/>
    </row>
    <row r="349" ht="15.75" customHeight="1">
      <c r="J349" s="88"/>
    </row>
    <row r="350" ht="15.75" customHeight="1">
      <c r="J350" s="88"/>
    </row>
    <row r="351" ht="15.75" customHeight="1">
      <c r="J351" s="88"/>
    </row>
    <row r="352" ht="15.75" customHeight="1">
      <c r="J352" s="88"/>
    </row>
    <row r="353" ht="15.75" customHeight="1">
      <c r="J353" s="88"/>
    </row>
    <row r="354" ht="15.75" customHeight="1">
      <c r="J354" s="88"/>
    </row>
    <row r="355" ht="15.75" customHeight="1">
      <c r="J355" s="88"/>
    </row>
    <row r="356" ht="15.75" customHeight="1">
      <c r="J356" s="88"/>
    </row>
    <row r="357" ht="15.75" customHeight="1">
      <c r="J357" s="88"/>
    </row>
    <row r="358" ht="15.75" customHeight="1">
      <c r="J358" s="88"/>
    </row>
    <row r="359" ht="15.75" customHeight="1">
      <c r="J359" s="88"/>
    </row>
    <row r="360" ht="15.75" customHeight="1">
      <c r="J360" s="88"/>
    </row>
    <row r="361" ht="15.75" customHeight="1">
      <c r="J361" s="88"/>
    </row>
    <row r="362" ht="15.75" customHeight="1">
      <c r="J362" s="88"/>
    </row>
    <row r="363" ht="15.75" customHeight="1">
      <c r="J363" s="88"/>
    </row>
    <row r="364" ht="15.75" customHeight="1">
      <c r="J364" s="88"/>
    </row>
    <row r="365" ht="15.75" customHeight="1">
      <c r="J365" s="88"/>
    </row>
    <row r="366" ht="15.75" customHeight="1">
      <c r="J366" s="88"/>
    </row>
    <row r="367" ht="15.75" customHeight="1">
      <c r="J367" s="88"/>
    </row>
    <row r="368" ht="15.75" customHeight="1">
      <c r="J368" s="88"/>
    </row>
    <row r="369" ht="15.75" customHeight="1">
      <c r="J369" s="88"/>
    </row>
    <row r="370" ht="15.75" customHeight="1">
      <c r="J370" s="88"/>
    </row>
    <row r="371" ht="15.75" customHeight="1">
      <c r="J371" s="88"/>
    </row>
    <row r="372" ht="15.75" customHeight="1">
      <c r="J372" s="88"/>
    </row>
    <row r="373" ht="15.75" customHeight="1">
      <c r="J373" s="88"/>
    </row>
    <row r="374" ht="15.75" customHeight="1">
      <c r="J374" s="88"/>
    </row>
    <row r="375" ht="15.75" customHeight="1">
      <c r="J375" s="88"/>
    </row>
    <row r="376" ht="15.75" customHeight="1">
      <c r="J376" s="88"/>
    </row>
    <row r="377" ht="15.75" customHeight="1">
      <c r="J377" s="88"/>
    </row>
    <row r="378" ht="15.75" customHeight="1">
      <c r="J378" s="88"/>
    </row>
    <row r="379" ht="15.75" customHeight="1">
      <c r="J379" s="88"/>
    </row>
    <row r="380" ht="15.75" customHeight="1">
      <c r="J380" s="88"/>
    </row>
    <row r="381" ht="15.75" customHeight="1">
      <c r="J381" s="88"/>
    </row>
    <row r="382" ht="15.75" customHeight="1">
      <c r="J382" s="88"/>
    </row>
    <row r="383" ht="15.75" customHeight="1">
      <c r="J383" s="88"/>
    </row>
    <row r="384" ht="15.75" customHeight="1">
      <c r="J384" s="88"/>
    </row>
    <row r="385" ht="15.75" customHeight="1">
      <c r="J385" s="88"/>
    </row>
    <row r="386" ht="15.75" customHeight="1">
      <c r="J386" s="88"/>
    </row>
    <row r="387" ht="15.75" customHeight="1">
      <c r="J387" s="88"/>
    </row>
    <row r="388" ht="15.75" customHeight="1">
      <c r="J388" s="88"/>
    </row>
    <row r="389" ht="15.75" customHeight="1">
      <c r="J389" s="88"/>
    </row>
    <row r="390" ht="15.75" customHeight="1">
      <c r="J390" s="88"/>
    </row>
    <row r="391" ht="15.75" customHeight="1">
      <c r="J391" s="88"/>
    </row>
    <row r="392" ht="15.75" customHeight="1">
      <c r="J392" s="88"/>
    </row>
    <row r="393" ht="15.75" customHeight="1">
      <c r="J393" s="88"/>
    </row>
    <row r="394" ht="15.75" customHeight="1">
      <c r="J394" s="88"/>
    </row>
    <row r="395" ht="15.75" customHeight="1">
      <c r="J395" s="88"/>
    </row>
    <row r="396" ht="15.75" customHeight="1">
      <c r="J396" s="88"/>
    </row>
    <row r="397" ht="15.75" customHeight="1">
      <c r="J397" s="88"/>
    </row>
    <row r="398" ht="15.75" customHeight="1">
      <c r="J398" s="88"/>
    </row>
    <row r="399" ht="15.75" customHeight="1">
      <c r="J399" s="88"/>
    </row>
    <row r="400" ht="15.75" customHeight="1">
      <c r="J400" s="88"/>
    </row>
    <row r="401" ht="15.75" customHeight="1">
      <c r="J401" s="88"/>
    </row>
    <row r="402" ht="15.75" customHeight="1">
      <c r="J402" s="88"/>
    </row>
    <row r="403" ht="15.75" customHeight="1">
      <c r="J403" s="88"/>
    </row>
    <row r="404" ht="15.75" customHeight="1">
      <c r="J404" s="88"/>
    </row>
    <row r="405" ht="15.75" customHeight="1">
      <c r="J405" s="88"/>
    </row>
    <row r="406" ht="15.75" customHeight="1">
      <c r="J406" s="88"/>
    </row>
    <row r="407" ht="15.75" customHeight="1">
      <c r="J407" s="88"/>
    </row>
    <row r="408" ht="15.75" customHeight="1">
      <c r="J408" s="88"/>
    </row>
    <row r="409" ht="15.75" customHeight="1">
      <c r="J409" s="88"/>
    </row>
    <row r="410" ht="15.75" customHeight="1">
      <c r="J410" s="88"/>
    </row>
    <row r="411" ht="15.75" customHeight="1">
      <c r="J411" s="88"/>
    </row>
    <row r="412" ht="15.75" customHeight="1">
      <c r="J412" s="88"/>
    </row>
    <row r="413" ht="15.75" customHeight="1">
      <c r="J413" s="88"/>
    </row>
    <row r="414" ht="15.75" customHeight="1">
      <c r="J414" s="88"/>
    </row>
    <row r="415" ht="15.75" customHeight="1">
      <c r="J415" s="88"/>
    </row>
    <row r="416" ht="15.75" customHeight="1">
      <c r="J416" s="88"/>
    </row>
    <row r="417" ht="15.75" customHeight="1">
      <c r="J417" s="88"/>
    </row>
    <row r="418" ht="15.75" customHeight="1">
      <c r="J418" s="88"/>
    </row>
    <row r="419" ht="15.75" customHeight="1">
      <c r="J419" s="88"/>
    </row>
    <row r="420" ht="15.75" customHeight="1">
      <c r="J420" s="88"/>
    </row>
    <row r="421" ht="15.75" customHeight="1">
      <c r="J421" s="88"/>
    </row>
    <row r="422" ht="15.75" customHeight="1">
      <c r="J422" s="88"/>
    </row>
    <row r="423" ht="15.75" customHeight="1">
      <c r="J423" s="88"/>
    </row>
    <row r="424" ht="15.75" customHeight="1">
      <c r="J424" s="88"/>
    </row>
    <row r="425" ht="15.75" customHeight="1">
      <c r="J425" s="88"/>
    </row>
    <row r="426" ht="15.75" customHeight="1">
      <c r="J426" s="88"/>
    </row>
    <row r="427" ht="15.75" customHeight="1">
      <c r="J427" s="88"/>
    </row>
    <row r="428" ht="15.75" customHeight="1">
      <c r="J428" s="88"/>
    </row>
    <row r="429" ht="15.75" customHeight="1">
      <c r="J429" s="88"/>
    </row>
    <row r="430" ht="15.75" customHeight="1">
      <c r="J430" s="88"/>
    </row>
    <row r="431" ht="15.75" customHeight="1">
      <c r="J431" s="88"/>
    </row>
    <row r="432" ht="15.75" customHeight="1">
      <c r="J432" s="88"/>
    </row>
    <row r="433" ht="15.75" customHeight="1">
      <c r="J433" s="88"/>
    </row>
    <row r="434" ht="15.75" customHeight="1">
      <c r="J434" s="88"/>
    </row>
    <row r="435" ht="15.75" customHeight="1">
      <c r="J435" s="88"/>
    </row>
    <row r="436" ht="15.75" customHeight="1">
      <c r="J436" s="88"/>
    </row>
    <row r="437" ht="15.75" customHeight="1">
      <c r="J437" s="88"/>
    </row>
    <row r="438" ht="15.75" customHeight="1">
      <c r="J438" s="88"/>
    </row>
    <row r="439" ht="15.75" customHeight="1">
      <c r="J439" s="88"/>
    </row>
    <row r="440" ht="15.75" customHeight="1">
      <c r="J440" s="88"/>
    </row>
    <row r="441" ht="15.75" customHeight="1">
      <c r="J441" s="88"/>
    </row>
    <row r="442" ht="15.75" customHeight="1">
      <c r="J442" s="88"/>
    </row>
    <row r="443" ht="15.75" customHeight="1">
      <c r="J443" s="88"/>
    </row>
    <row r="444" ht="15.75" customHeight="1">
      <c r="J444" s="88"/>
    </row>
    <row r="445" ht="15.75" customHeight="1">
      <c r="J445" s="88"/>
    </row>
    <row r="446" ht="15.75" customHeight="1">
      <c r="J446" s="88"/>
    </row>
    <row r="447" ht="15.75" customHeight="1">
      <c r="J447" s="88"/>
    </row>
    <row r="448" ht="15.75" customHeight="1">
      <c r="J448" s="88"/>
    </row>
    <row r="449" ht="15.75" customHeight="1">
      <c r="J449" s="88"/>
    </row>
    <row r="450" ht="15.75" customHeight="1">
      <c r="J450" s="88"/>
    </row>
    <row r="451" ht="15.75" customHeight="1">
      <c r="J451" s="88"/>
    </row>
    <row r="452" ht="15.75" customHeight="1">
      <c r="J452" s="88"/>
    </row>
    <row r="453" ht="15.75" customHeight="1">
      <c r="J453" s="88"/>
    </row>
    <row r="454" ht="15.75" customHeight="1">
      <c r="J454" s="88"/>
    </row>
    <row r="455" ht="15.75" customHeight="1">
      <c r="J455" s="88"/>
    </row>
    <row r="456" ht="15.75" customHeight="1">
      <c r="J456" s="88"/>
    </row>
    <row r="457" ht="15.75" customHeight="1">
      <c r="J457" s="88"/>
    </row>
    <row r="458" ht="15.75" customHeight="1">
      <c r="J458" s="88"/>
    </row>
    <row r="459" ht="15.75" customHeight="1">
      <c r="J459" s="88"/>
    </row>
    <row r="460" ht="15.75" customHeight="1">
      <c r="J460" s="88"/>
    </row>
    <row r="461" ht="15.75" customHeight="1">
      <c r="J461" s="88"/>
    </row>
    <row r="462" ht="15.75" customHeight="1">
      <c r="J462" s="88"/>
    </row>
    <row r="463" ht="15.75" customHeight="1">
      <c r="J463" s="88"/>
    </row>
    <row r="464" ht="15.75" customHeight="1">
      <c r="J464" s="88"/>
    </row>
    <row r="465" ht="15.75" customHeight="1">
      <c r="J465" s="88"/>
    </row>
    <row r="466" ht="15.75" customHeight="1">
      <c r="J466" s="88"/>
    </row>
    <row r="467" ht="15.75" customHeight="1">
      <c r="J467" s="88"/>
    </row>
    <row r="468" ht="15.75" customHeight="1">
      <c r="J468" s="88"/>
    </row>
    <row r="469" ht="15.75" customHeight="1">
      <c r="J469" s="88"/>
    </row>
    <row r="470" ht="15.75" customHeight="1">
      <c r="J470" s="88"/>
    </row>
    <row r="471" ht="15.75" customHeight="1">
      <c r="J471" s="88"/>
    </row>
    <row r="472" ht="15.75" customHeight="1">
      <c r="J472" s="88"/>
    </row>
    <row r="473" ht="15.75" customHeight="1">
      <c r="J473" s="88"/>
    </row>
    <row r="474" ht="15.75" customHeight="1">
      <c r="J474" s="88"/>
    </row>
    <row r="475" ht="15.75" customHeight="1">
      <c r="J475" s="88"/>
    </row>
    <row r="476" ht="15.75" customHeight="1">
      <c r="J476" s="88"/>
    </row>
    <row r="477" ht="15.75" customHeight="1">
      <c r="J477" s="88"/>
    </row>
    <row r="478" ht="15.75" customHeight="1">
      <c r="J478" s="88"/>
    </row>
    <row r="479" ht="15.75" customHeight="1">
      <c r="J479" s="88"/>
    </row>
    <row r="480" ht="15.75" customHeight="1">
      <c r="J480" s="88"/>
    </row>
    <row r="481" ht="15.75" customHeight="1">
      <c r="J481" s="88"/>
    </row>
    <row r="482" ht="15.75" customHeight="1">
      <c r="J482" s="88"/>
    </row>
    <row r="483" ht="15.75" customHeight="1">
      <c r="J483" s="88"/>
    </row>
    <row r="484" ht="15.75" customHeight="1">
      <c r="J484" s="88"/>
    </row>
    <row r="485" ht="15.75" customHeight="1">
      <c r="J485" s="88"/>
    </row>
    <row r="486" ht="15.75" customHeight="1">
      <c r="J486" s="88"/>
    </row>
    <row r="487" ht="15.75" customHeight="1">
      <c r="J487" s="88"/>
    </row>
    <row r="488" ht="15.75" customHeight="1">
      <c r="J488" s="88"/>
    </row>
    <row r="489" ht="15.75" customHeight="1">
      <c r="J489" s="88"/>
    </row>
    <row r="490" ht="15.75" customHeight="1">
      <c r="J490" s="88"/>
    </row>
    <row r="491" ht="15.75" customHeight="1">
      <c r="J491" s="88"/>
    </row>
    <row r="492" ht="15.75" customHeight="1">
      <c r="J492" s="88"/>
    </row>
    <row r="493" ht="15.75" customHeight="1">
      <c r="J493" s="88"/>
    </row>
    <row r="494" ht="15.75" customHeight="1">
      <c r="J494" s="88"/>
    </row>
    <row r="495" ht="15.75" customHeight="1">
      <c r="J495" s="88"/>
    </row>
    <row r="496" ht="15.75" customHeight="1">
      <c r="J496" s="88"/>
    </row>
    <row r="497" ht="15.75" customHeight="1">
      <c r="J497" s="88"/>
    </row>
    <row r="498" ht="15.75" customHeight="1">
      <c r="J498" s="88"/>
    </row>
    <row r="499" ht="15.75" customHeight="1">
      <c r="J499" s="88"/>
    </row>
    <row r="500" ht="15.75" customHeight="1">
      <c r="J500" s="88"/>
    </row>
    <row r="501" ht="15.75" customHeight="1">
      <c r="J501" s="88"/>
    </row>
    <row r="502" ht="15.75" customHeight="1">
      <c r="J502" s="88"/>
    </row>
    <row r="503" ht="15.75" customHeight="1">
      <c r="J503" s="88"/>
    </row>
    <row r="504" ht="15.75" customHeight="1">
      <c r="J504" s="88"/>
    </row>
    <row r="505" ht="15.75" customHeight="1">
      <c r="J505" s="88"/>
    </row>
    <row r="506" ht="15.75" customHeight="1">
      <c r="J506" s="88"/>
    </row>
    <row r="507" ht="15.75" customHeight="1">
      <c r="J507" s="88"/>
    </row>
    <row r="508" ht="15.75" customHeight="1">
      <c r="J508" s="88"/>
    </row>
    <row r="509" ht="15.75" customHeight="1">
      <c r="J509" s="88"/>
    </row>
    <row r="510" ht="15.75" customHeight="1">
      <c r="J510" s="88"/>
    </row>
    <row r="511" ht="15.75" customHeight="1">
      <c r="J511" s="88"/>
    </row>
    <row r="512" ht="15.75" customHeight="1">
      <c r="J512" s="88"/>
    </row>
    <row r="513" ht="15.75" customHeight="1">
      <c r="J513" s="88"/>
    </row>
    <row r="514" ht="15.75" customHeight="1">
      <c r="J514" s="88"/>
    </row>
    <row r="515" ht="15.75" customHeight="1">
      <c r="J515" s="88"/>
    </row>
    <row r="516" ht="15.75" customHeight="1">
      <c r="J516" s="88"/>
    </row>
    <row r="517" ht="15.75" customHeight="1">
      <c r="J517" s="88"/>
    </row>
    <row r="518" ht="15.75" customHeight="1">
      <c r="J518" s="88"/>
    </row>
    <row r="519" ht="15.75" customHeight="1">
      <c r="J519" s="88"/>
    </row>
    <row r="520" ht="15.75" customHeight="1">
      <c r="J520" s="88"/>
    </row>
    <row r="521" ht="15.75" customHeight="1">
      <c r="J521" s="88"/>
    </row>
    <row r="522" ht="15.75" customHeight="1">
      <c r="J522" s="88"/>
    </row>
    <row r="523" ht="15.75" customHeight="1">
      <c r="J523" s="88"/>
    </row>
    <row r="524" ht="15.75" customHeight="1">
      <c r="J524" s="88"/>
    </row>
    <row r="525" ht="15.75" customHeight="1">
      <c r="J525" s="88"/>
    </row>
    <row r="526" ht="15.75" customHeight="1">
      <c r="J526" s="88"/>
    </row>
    <row r="527" ht="15.75" customHeight="1">
      <c r="J527" s="88"/>
    </row>
    <row r="528" ht="15.75" customHeight="1">
      <c r="J528" s="88"/>
    </row>
    <row r="529" ht="15.75" customHeight="1">
      <c r="J529" s="88"/>
    </row>
    <row r="530" ht="15.75" customHeight="1">
      <c r="J530" s="88"/>
    </row>
    <row r="531" ht="15.75" customHeight="1">
      <c r="J531" s="88"/>
    </row>
    <row r="532" ht="15.75" customHeight="1">
      <c r="J532" s="88"/>
    </row>
    <row r="533" ht="15.75" customHeight="1">
      <c r="J533" s="88"/>
    </row>
    <row r="534" ht="15.75" customHeight="1">
      <c r="J534" s="88"/>
    </row>
    <row r="535" ht="15.75" customHeight="1">
      <c r="J535" s="88"/>
    </row>
    <row r="536" ht="15.75" customHeight="1">
      <c r="J536" s="88"/>
    </row>
    <row r="537" ht="15.75" customHeight="1">
      <c r="J537" s="88"/>
    </row>
    <row r="538" ht="15.75" customHeight="1">
      <c r="J538" s="88"/>
    </row>
    <row r="539" ht="15.75" customHeight="1">
      <c r="J539" s="88"/>
    </row>
    <row r="540" ht="15.75" customHeight="1">
      <c r="J540" s="88"/>
    </row>
    <row r="541" ht="15.75" customHeight="1">
      <c r="J541" s="88"/>
    </row>
    <row r="542" ht="15.75" customHeight="1">
      <c r="J542" s="88"/>
    </row>
    <row r="543" ht="15.75" customHeight="1">
      <c r="J543" s="88"/>
    </row>
    <row r="544" ht="15.75" customHeight="1">
      <c r="J544" s="88"/>
    </row>
    <row r="545" ht="15.75" customHeight="1">
      <c r="J545" s="88"/>
    </row>
    <row r="546" ht="15.75" customHeight="1">
      <c r="J546" s="88"/>
    </row>
    <row r="547" ht="15.75" customHeight="1">
      <c r="J547" s="88"/>
    </row>
    <row r="548" ht="15.75" customHeight="1">
      <c r="J548" s="88"/>
    </row>
    <row r="549" ht="15.75" customHeight="1">
      <c r="J549" s="88"/>
    </row>
    <row r="550" ht="15.75" customHeight="1">
      <c r="J550" s="88"/>
    </row>
    <row r="551" ht="15.75" customHeight="1">
      <c r="J551" s="88"/>
    </row>
    <row r="552" ht="15.75" customHeight="1">
      <c r="J552" s="88"/>
    </row>
    <row r="553" ht="15.75" customHeight="1">
      <c r="J553" s="88"/>
    </row>
    <row r="554" ht="15.75" customHeight="1">
      <c r="J554" s="88"/>
    </row>
    <row r="555" ht="15.75" customHeight="1">
      <c r="J555" s="88"/>
    </row>
    <row r="556" ht="15.75" customHeight="1">
      <c r="J556" s="88"/>
    </row>
    <row r="557" ht="15.75" customHeight="1">
      <c r="J557" s="88"/>
    </row>
    <row r="558" ht="15.75" customHeight="1">
      <c r="J558" s="88"/>
    </row>
    <row r="559" ht="15.75" customHeight="1">
      <c r="J559" s="88"/>
    </row>
    <row r="560" ht="15.75" customHeight="1">
      <c r="J560" s="88"/>
    </row>
    <row r="561" ht="15.75" customHeight="1">
      <c r="J561" s="88"/>
    </row>
    <row r="562" ht="15.75" customHeight="1">
      <c r="J562" s="88"/>
    </row>
    <row r="563" ht="15.75" customHeight="1">
      <c r="J563" s="88"/>
    </row>
    <row r="564" ht="15.75" customHeight="1">
      <c r="J564" s="88"/>
    </row>
    <row r="565" ht="15.75" customHeight="1">
      <c r="J565" s="88"/>
    </row>
    <row r="566" ht="15.75" customHeight="1">
      <c r="J566" s="88"/>
    </row>
    <row r="567" ht="15.75" customHeight="1">
      <c r="J567" s="88"/>
    </row>
    <row r="568" ht="15.75" customHeight="1">
      <c r="J568" s="88"/>
    </row>
    <row r="569" ht="15.75" customHeight="1">
      <c r="J569" s="88"/>
    </row>
    <row r="570" ht="15.75" customHeight="1">
      <c r="J570" s="88"/>
    </row>
    <row r="571" ht="15.75" customHeight="1">
      <c r="J571" s="88"/>
    </row>
    <row r="572" ht="15.75" customHeight="1">
      <c r="J572" s="88"/>
    </row>
    <row r="573" ht="15.75" customHeight="1">
      <c r="J573" s="88"/>
    </row>
    <row r="574" ht="15.75" customHeight="1">
      <c r="J574" s="88"/>
    </row>
    <row r="575" ht="15.75" customHeight="1">
      <c r="J575" s="88"/>
    </row>
    <row r="576" ht="15.75" customHeight="1">
      <c r="J576" s="88"/>
    </row>
    <row r="577" ht="15.75" customHeight="1">
      <c r="J577" s="88"/>
    </row>
    <row r="578" ht="15.75" customHeight="1">
      <c r="J578" s="88"/>
    </row>
    <row r="579" ht="15.75" customHeight="1">
      <c r="J579" s="88"/>
    </row>
    <row r="580" ht="15.75" customHeight="1">
      <c r="J580" s="88"/>
    </row>
    <row r="581" ht="15.75" customHeight="1">
      <c r="J581" s="88"/>
    </row>
    <row r="582" ht="15.75" customHeight="1">
      <c r="J582" s="88"/>
    </row>
    <row r="583" ht="15.75" customHeight="1">
      <c r="J583" s="88"/>
    </row>
    <row r="584" ht="15.75" customHeight="1">
      <c r="J584" s="88"/>
    </row>
    <row r="585" ht="15.75" customHeight="1">
      <c r="J585" s="88"/>
    </row>
    <row r="586" ht="15.75" customHeight="1">
      <c r="J586" s="88"/>
    </row>
    <row r="587" ht="15.75" customHeight="1">
      <c r="J587" s="88"/>
    </row>
    <row r="588" ht="15.75" customHeight="1">
      <c r="J588" s="88"/>
    </row>
    <row r="589" ht="15.75" customHeight="1">
      <c r="J589" s="88"/>
    </row>
    <row r="590" ht="15.75" customHeight="1">
      <c r="J590" s="88"/>
    </row>
    <row r="591" ht="15.75" customHeight="1">
      <c r="J591" s="88"/>
    </row>
    <row r="592" ht="15.75" customHeight="1">
      <c r="J592" s="88"/>
    </row>
    <row r="593" ht="15.75" customHeight="1">
      <c r="J593" s="88"/>
    </row>
    <row r="594" ht="15.75" customHeight="1">
      <c r="J594" s="88"/>
    </row>
    <row r="595" ht="15.75" customHeight="1">
      <c r="J595" s="88"/>
    </row>
    <row r="596" ht="15.75" customHeight="1">
      <c r="J596" s="88"/>
    </row>
    <row r="597" ht="15.75" customHeight="1">
      <c r="J597" s="88"/>
    </row>
    <row r="598" ht="15.75" customHeight="1">
      <c r="J598" s="88"/>
    </row>
    <row r="599" ht="15.75" customHeight="1">
      <c r="J599" s="88"/>
    </row>
    <row r="600" ht="15.75" customHeight="1">
      <c r="J600" s="88"/>
    </row>
    <row r="601" ht="15.75" customHeight="1">
      <c r="J601" s="88"/>
    </row>
    <row r="602" ht="15.75" customHeight="1">
      <c r="J602" s="88"/>
    </row>
    <row r="603" ht="15.75" customHeight="1">
      <c r="J603" s="88"/>
    </row>
    <row r="604" ht="15.75" customHeight="1">
      <c r="J604" s="88"/>
    </row>
    <row r="605" ht="15.75" customHeight="1">
      <c r="J605" s="88"/>
    </row>
    <row r="606" ht="15.75" customHeight="1">
      <c r="J606" s="88"/>
    </row>
    <row r="607" ht="15.75" customHeight="1">
      <c r="J607" s="88"/>
    </row>
    <row r="608" ht="15.75" customHeight="1">
      <c r="J608" s="88"/>
    </row>
    <row r="609" ht="15.75" customHeight="1">
      <c r="J609" s="88"/>
    </row>
    <row r="610" ht="15.75" customHeight="1">
      <c r="J610" s="88"/>
    </row>
    <row r="611" ht="15.75" customHeight="1">
      <c r="J611" s="88"/>
    </row>
    <row r="612" ht="15.75" customHeight="1">
      <c r="J612" s="88"/>
    </row>
    <row r="613" ht="15.75" customHeight="1">
      <c r="J613" s="88"/>
    </row>
    <row r="614" ht="15.75" customHeight="1">
      <c r="J614" s="88"/>
    </row>
    <row r="615" ht="15.75" customHeight="1">
      <c r="J615" s="88"/>
    </row>
    <row r="616" ht="15.75" customHeight="1">
      <c r="J616" s="88"/>
    </row>
    <row r="617" ht="15.75" customHeight="1">
      <c r="J617" s="88"/>
    </row>
    <row r="618" ht="15.75" customHeight="1">
      <c r="J618" s="88"/>
    </row>
    <row r="619" ht="15.75" customHeight="1">
      <c r="J619" s="88"/>
    </row>
    <row r="620" ht="15.75" customHeight="1">
      <c r="J620" s="88"/>
    </row>
    <row r="621" ht="15.75" customHeight="1">
      <c r="J621" s="88"/>
    </row>
    <row r="622" ht="15.75" customHeight="1">
      <c r="J622" s="88"/>
    </row>
    <row r="623" ht="15.75" customHeight="1">
      <c r="J623" s="88"/>
    </row>
    <row r="624" ht="15.75" customHeight="1">
      <c r="J624" s="88"/>
    </row>
    <row r="625" ht="15.75" customHeight="1">
      <c r="J625" s="88"/>
    </row>
    <row r="626" ht="15.75" customHeight="1">
      <c r="J626" s="88"/>
    </row>
    <row r="627" ht="15.75" customHeight="1">
      <c r="J627" s="88"/>
    </row>
    <row r="628" ht="15.75" customHeight="1">
      <c r="J628" s="88"/>
    </row>
    <row r="629" ht="15.75" customHeight="1">
      <c r="J629" s="88"/>
    </row>
    <row r="630" ht="15.75" customHeight="1">
      <c r="J630" s="88"/>
    </row>
    <row r="631" ht="15.75" customHeight="1">
      <c r="J631" s="88"/>
    </row>
    <row r="632" ht="15.75" customHeight="1">
      <c r="J632" s="88"/>
    </row>
    <row r="633" ht="15.75" customHeight="1">
      <c r="J633" s="88"/>
    </row>
    <row r="634" ht="15.75" customHeight="1">
      <c r="J634" s="88"/>
    </row>
    <row r="635" ht="15.75" customHeight="1">
      <c r="J635" s="88"/>
    </row>
    <row r="636" ht="15.75" customHeight="1">
      <c r="J636" s="88"/>
    </row>
    <row r="637" ht="15.75" customHeight="1">
      <c r="J637" s="88"/>
    </row>
    <row r="638" ht="15.75" customHeight="1">
      <c r="J638" s="88"/>
    </row>
    <row r="639" ht="15.75" customHeight="1">
      <c r="J639" s="88"/>
    </row>
    <row r="640" ht="15.75" customHeight="1">
      <c r="J640" s="88"/>
    </row>
    <row r="641" ht="15.75" customHeight="1">
      <c r="J641" s="88"/>
    </row>
    <row r="642" ht="15.75" customHeight="1">
      <c r="J642" s="88"/>
    </row>
    <row r="643" ht="15.75" customHeight="1">
      <c r="J643" s="88"/>
    </row>
    <row r="644" ht="15.75" customHeight="1">
      <c r="J644" s="88"/>
    </row>
    <row r="645" ht="15.75" customHeight="1">
      <c r="J645" s="88"/>
    </row>
    <row r="646" ht="15.75" customHeight="1">
      <c r="J646" s="88"/>
    </row>
    <row r="647" ht="15.75" customHeight="1">
      <c r="J647" s="88"/>
    </row>
    <row r="648" ht="15.75" customHeight="1">
      <c r="J648" s="88"/>
    </row>
    <row r="649" ht="15.75" customHeight="1">
      <c r="J649" s="88"/>
    </row>
    <row r="650" ht="15.75" customHeight="1">
      <c r="J650" s="88"/>
    </row>
    <row r="651" ht="15.75" customHeight="1">
      <c r="J651" s="88"/>
    </row>
    <row r="652" ht="15.75" customHeight="1">
      <c r="J652" s="88"/>
    </row>
    <row r="653" ht="15.75" customHeight="1">
      <c r="J653" s="88"/>
    </row>
    <row r="654" ht="15.75" customHeight="1">
      <c r="J654" s="88"/>
    </row>
    <row r="655" ht="15.75" customHeight="1">
      <c r="J655" s="88"/>
    </row>
    <row r="656" ht="15.75" customHeight="1">
      <c r="J656" s="88"/>
    </row>
    <row r="657" ht="15.75" customHeight="1">
      <c r="J657" s="88"/>
    </row>
    <row r="658" ht="15.75" customHeight="1">
      <c r="J658" s="88"/>
    </row>
    <row r="659" ht="15.75" customHeight="1">
      <c r="J659" s="88"/>
    </row>
    <row r="660" ht="15.75" customHeight="1">
      <c r="J660" s="88"/>
    </row>
    <row r="661" ht="15.75" customHeight="1">
      <c r="J661" s="88"/>
    </row>
    <row r="662" ht="15.75" customHeight="1">
      <c r="J662" s="88"/>
    </row>
    <row r="663" ht="15.75" customHeight="1">
      <c r="J663" s="88"/>
    </row>
    <row r="664" ht="15.75" customHeight="1">
      <c r="J664" s="88"/>
    </row>
    <row r="665" ht="15.75" customHeight="1">
      <c r="J665" s="88"/>
    </row>
    <row r="666" ht="15.75" customHeight="1">
      <c r="J666" s="88"/>
    </row>
    <row r="667" ht="15.75" customHeight="1">
      <c r="J667" s="88"/>
    </row>
    <row r="668" ht="15.75" customHeight="1">
      <c r="J668" s="88"/>
    </row>
    <row r="669" ht="15.75" customHeight="1">
      <c r="J669" s="88"/>
    </row>
    <row r="670" ht="15.75" customHeight="1">
      <c r="J670" s="88"/>
    </row>
    <row r="671" ht="15.75" customHeight="1">
      <c r="J671" s="88"/>
    </row>
    <row r="672" ht="15.75" customHeight="1">
      <c r="J672" s="88"/>
    </row>
    <row r="673" ht="15.75" customHeight="1">
      <c r="J673" s="88"/>
    </row>
    <row r="674" ht="15.75" customHeight="1">
      <c r="J674" s="88"/>
    </row>
    <row r="675" ht="15.75" customHeight="1">
      <c r="J675" s="88"/>
    </row>
    <row r="676" ht="15.75" customHeight="1">
      <c r="J676" s="88"/>
    </row>
    <row r="677" ht="15.75" customHeight="1">
      <c r="J677" s="88"/>
    </row>
    <row r="678" ht="15.75" customHeight="1">
      <c r="J678" s="88"/>
    </row>
    <row r="679" ht="15.75" customHeight="1">
      <c r="J679" s="88"/>
    </row>
    <row r="680" ht="15.75" customHeight="1">
      <c r="J680" s="88"/>
    </row>
    <row r="681" ht="15.75" customHeight="1">
      <c r="J681" s="88"/>
    </row>
    <row r="682" ht="15.75" customHeight="1">
      <c r="J682" s="88"/>
    </row>
    <row r="683" ht="15.75" customHeight="1">
      <c r="J683" s="88"/>
    </row>
    <row r="684" ht="15.75" customHeight="1">
      <c r="J684" s="88"/>
    </row>
    <row r="685" ht="15.75" customHeight="1">
      <c r="J685" s="88"/>
    </row>
    <row r="686" ht="15.75" customHeight="1">
      <c r="J686" s="88"/>
    </row>
    <row r="687" ht="15.75" customHeight="1">
      <c r="J687" s="88"/>
    </row>
    <row r="688" ht="15.75" customHeight="1">
      <c r="J688" s="88"/>
    </row>
    <row r="689" ht="15.75" customHeight="1">
      <c r="J689" s="88"/>
    </row>
    <row r="690" ht="15.75" customHeight="1">
      <c r="J690" s="88"/>
    </row>
    <row r="691" ht="15.75" customHeight="1">
      <c r="J691" s="88"/>
    </row>
    <row r="692" ht="15.75" customHeight="1">
      <c r="J692" s="88"/>
    </row>
    <row r="693" ht="15.75" customHeight="1">
      <c r="J693" s="88"/>
    </row>
    <row r="694" ht="15.75" customHeight="1">
      <c r="J694" s="88"/>
    </row>
    <row r="695" ht="15.75" customHeight="1">
      <c r="J695" s="88"/>
    </row>
    <row r="696" ht="15.75" customHeight="1">
      <c r="J696" s="88"/>
    </row>
    <row r="697" ht="15.75" customHeight="1">
      <c r="J697" s="88"/>
    </row>
    <row r="698" ht="15.75" customHeight="1">
      <c r="J698" s="88"/>
    </row>
    <row r="699" ht="15.75" customHeight="1">
      <c r="J699" s="88"/>
    </row>
    <row r="700" ht="15.75" customHeight="1">
      <c r="J700" s="88"/>
    </row>
    <row r="701" ht="15.75" customHeight="1">
      <c r="J701" s="88"/>
    </row>
    <row r="702" ht="15.75" customHeight="1">
      <c r="J702" s="88"/>
    </row>
    <row r="703" ht="15.75" customHeight="1">
      <c r="J703" s="88"/>
    </row>
    <row r="704" ht="15.75" customHeight="1">
      <c r="J704" s="88"/>
    </row>
    <row r="705" ht="15.75" customHeight="1">
      <c r="J705" s="88"/>
    </row>
    <row r="706" ht="15.75" customHeight="1">
      <c r="J706" s="88"/>
    </row>
    <row r="707" ht="15.75" customHeight="1">
      <c r="J707" s="88"/>
    </row>
    <row r="708" ht="15.75" customHeight="1">
      <c r="J708" s="88"/>
    </row>
    <row r="709" ht="15.75" customHeight="1">
      <c r="J709" s="88"/>
    </row>
    <row r="710" ht="15.75" customHeight="1">
      <c r="J710" s="88"/>
    </row>
    <row r="711" ht="15.75" customHeight="1">
      <c r="J711" s="88"/>
    </row>
    <row r="712" ht="15.75" customHeight="1">
      <c r="J712" s="88"/>
    </row>
    <row r="713" ht="15.75" customHeight="1">
      <c r="J713" s="88"/>
    </row>
    <row r="714" ht="15.75" customHeight="1">
      <c r="J714" s="88"/>
    </row>
    <row r="715" ht="15.75" customHeight="1">
      <c r="J715" s="88"/>
    </row>
    <row r="716" ht="15.75" customHeight="1">
      <c r="J716" s="88"/>
    </row>
    <row r="717" ht="15.75" customHeight="1">
      <c r="J717" s="88"/>
    </row>
    <row r="718" ht="15.75" customHeight="1">
      <c r="J718" s="88"/>
    </row>
    <row r="719" ht="15.75" customHeight="1">
      <c r="J719" s="88"/>
    </row>
    <row r="720" ht="15.75" customHeight="1">
      <c r="J720" s="88"/>
    </row>
    <row r="721" ht="15.75" customHeight="1">
      <c r="J721" s="88"/>
    </row>
    <row r="722" ht="15.75" customHeight="1">
      <c r="J722" s="88"/>
    </row>
    <row r="723" ht="15.75" customHeight="1">
      <c r="J723" s="88"/>
    </row>
    <row r="724" ht="15.75" customHeight="1">
      <c r="J724" s="88"/>
    </row>
    <row r="725" ht="15.75" customHeight="1">
      <c r="J725" s="88"/>
    </row>
    <row r="726" ht="15.75" customHeight="1">
      <c r="J726" s="88"/>
    </row>
    <row r="727" ht="15.75" customHeight="1">
      <c r="J727" s="88"/>
    </row>
    <row r="728" ht="15.75" customHeight="1">
      <c r="J728" s="88"/>
    </row>
    <row r="729" ht="15.75" customHeight="1">
      <c r="J729" s="88"/>
    </row>
    <row r="730" ht="15.75" customHeight="1">
      <c r="J730" s="88"/>
    </row>
    <row r="731" ht="15.75" customHeight="1">
      <c r="J731" s="88"/>
    </row>
    <row r="732" ht="15.75" customHeight="1">
      <c r="J732" s="88"/>
    </row>
    <row r="733" ht="15.75" customHeight="1">
      <c r="J733" s="88"/>
    </row>
    <row r="734" ht="15.75" customHeight="1">
      <c r="J734" s="88"/>
    </row>
    <row r="735" ht="15.75" customHeight="1">
      <c r="J735" s="88"/>
    </row>
    <row r="736" ht="15.75" customHeight="1">
      <c r="J736" s="88"/>
    </row>
    <row r="737" ht="15.75" customHeight="1">
      <c r="J737" s="88"/>
    </row>
    <row r="738" ht="15.75" customHeight="1">
      <c r="J738" s="88"/>
    </row>
    <row r="739" ht="15.75" customHeight="1">
      <c r="J739" s="88"/>
    </row>
    <row r="740" ht="15.75" customHeight="1">
      <c r="J740" s="88"/>
    </row>
    <row r="741" ht="15.75" customHeight="1">
      <c r="J741" s="88"/>
    </row>
    <row r="742" ht="15.75" customHeight="1">
      <c r="J742" s="88"/>
    </row>
    <row r="743" ht="15.75" customHeight="1">
      <c r="J743" s="88"/>
    </row>
    <row r="744" ht="15.75" customHeight="1">
      <c r="J744" s="88"/>
    </row>
    <row r="745" ht="15.75" customHeight="1">
      <c r="J745" s="88"/>
    </row>
    <row r="746" ht="15.75" customHeight="1">
      <c r="J746" s="88"/>
    </row>
    <row r="747" ht="15.75" customHeight="1">
      <c r="J747" s="88"/>
    </row>
    <row r="748" ht="15.75" customHeight="1">
      <c r="J748" s="88"/>
    </row>
    <row r="749" ht="15.75" customHeight="1">
      <c r="J749" s="88"/>
    </row>
    <row r="750" ht="15.75" customHeight="1">
      <c r="J750" s="88"/>
    </row>
    <row r="751" ht="15.75" customHeight="1">
      <c r="J751" s="88"/>
    </row>
    <row r="752" ht="15.75" customHeight="1">
      <c r="J752" s="88"/>
    </row>
    <row r="753" ht="15.75" customHeight="1">
      <c r="J753" s="88"/>
    </row>
    <row r="754" ht="15.75" customHeight="1">
      <c r="J754" s="88"/>
    </row>
    <row r="755" ht="15.75" customHeight="1">
      <c r="J755" s="88"/>
    </row>
    <row r="756" ht="15.75" customHeight="1">
      <c r="J756" s="88"/>
    </row>
    <row r="757" ht="15.75" customHeight="1">
      <c r="J757" s="88"/>
    </row>
    <row r="758" ht="15.75" customHeight="1">
      <c r="J758" s="88"/>
    </row>
    <row r="759" ht="15.75" customHeight="1">
      <c r="J759" s="88"/>
    </row>
    <row r="760" ht="15.75" customHeight="1">
      <c r="J760" s="88"/>
    </row>
    <row r="761" ht="15.75" customHeight="1">
      <c r="J761" s="88"/>
    </row>
    <row r="762" ht="15.75" customHeight="1">
      <c r="J762" s="88"/>
    </row>
    <row r="763" ht="15.75" customHeight="1">
      <c r="J763" s="88"/>
    </row>
    <row r="764" ht="15.75" customHeight="1">
      <c r="J764" s="88"/>
    </row>
    <row r="765" ht="15.75" customHeight="1">
      <c r="J765" s="88"/>
    </row>
    <row r="766" ht="15.75" customHeight="1">
      <c r="J766" s="88"/>
    </row>
    <row r="767" ht="15.75" customHeight="1">
      <c r="J767" s="88"/>
    </row>
    <row r="768" ht="15.75" customHeight="1">
      <c r="J768" s="88"/>
    </row>
    <row r="769" ht="15.75" customHeight="1">
      <c r="J769" s="88"/>
    </row>
    <row r="770" ht="15.75" customHeight="1">
      <c r="J770" s="88"/>
    </row>
    <row r="771" ht="15.75" customHeight="1">
      <c r="J771" s="88"/>
    </row>
    <row r="772" ht="15.75" customHeight="1">
      <c r="J772" s="88"/>
    </row>
    <row r="773" ht="15.75" customHeight="1">
      <c r="J773" s="88"/>
    </row>
    <row r="774" ht="15.75" customHeight="1">
      <c r="J774" s="88"/>
    </row>
    <row r="775" ht="15.75" customHeight="1">
      <c r="J775" s="88"/>
    </row>
    <row r="776" ht="15.75" customHeight="1">
      <c r="J776" s="88"/>
    </row>
    <row r="777" ht="15.75" customHeight="1">
      <c r="J777" s="88"/>
    </row>
    <row r="778" ht="15.75" customHeight="1">
      <c r="J778" s="88"/>
    </row>
    <row r="779" ht="15.75" customHeight="1">
      <c r="J779" s="88"/>
    </row>
    <row r="780" ht="15.75" customHeight="1">
      <c r="J780" s="88"/>
    </row>
    <row r="781" ht="15.75" customHeight="1">
      <c r="J781" s="88"/>
    </row>
    <row r="782" ht="15.75" customHeight="1">
      <c r="J782" s="88"/>
    </row>
    <row r="783" ht="15.75" customHeight="1">
      <c r="J783" s="88"/>
    </row>
    <row r="784" ht="15.75" customHeight="1">
      <c r="J784" s="88"/>
    </row>
    <row r="785" ht="15.75" customHeight="1">
      <c r="J785" s="88"/>
    </row>
    <row r="786" ht="15.75" customHeight="1">
      <c r="J786" s="88"/>
    </row>
    <row r="787" ht="15.75" customHeight="1">
      <c r="J787" s="88"/>
    </row>
    <row r="788" ht="15.75" customHeight="1">
      <c r="J788" s="88"/>
    </row>
    <row r="789" ht="15.75" customHeight="1">
      <c r="J789" s="88"/>
    </row>
    <row r="790" ht="15.75" customHeight="1">
      <c r="J790" s="88"/>
    </row>
    <row r="791" ht="15.75" customHeight="1">
      <c r="J791" s="88"/>
    </row>
    <row r="792" ht="15.75" customHeight="1">
      <c r="J792" s="88"/>
    </row>
    <row r="793" ht="15.75" customHeight="1">
      <c r="J793" s="88"/>
    </row>
    <row r="794" ht="15.75" customHeight="1">
      <c r="J794" s="88"/>
    </row>
    <row r="795" ht="15.75" customHeight="1">
      <c r="J795" s="88"/>
    </row>
    <row r="796" ht="15.75" customHeight="1">
      <c r="J796" s="88"/>
    </row>
    <row r="797" ht="15.75" customHeight="1">
      <c r="J797" s="88"/>
    </row>
    <row r="798" ht="15.75" customHeight="1">
      <c r="J798" s="88"/>
    </row>
    <row r="799" ht="15.75" customHeight="1">
      <c r="J799" s="88"/>
    </row>
    <row r="800" ht="15.75" customHeight="1">
      <c r="J800" s="88"/>
    </row>
    <row r="801" ht="15.75" customHeight="1">
      <c r="J801" s="88"/>
    </row>
    <row r="802" ht="15.75" customHeight="1">
      <c r="J802" s="88"/>
    </row>
    <row r="803" ht="15.75" customHeight="1">
      <c r="J803" s="88"/>
    </row>
    <row r="804" ht="15.75" customHeight="1">
      <c r="J804" s="88"/>
    </row>
    <row r="805" ht="15.75" customHeight="1">
      <c r="J805" s="88"/>
    </row>
    <row r="806" ht="15.75" customHeight="1">
      <c r="J806" s="88"/>
    </row>
    <row r="807" ht="15.75" customHeight="1">
      <c r="J807" s="88"/>
    </row>
    <row r="808" ht="15.75" customHeight="1">
      <c r="J808" s="88"/>
    </row>
    <row r="809" ht="15.75" customHeight="1">
      <c r="J809" s="88"/>
    </row>
    <row r="810" ht="15.75" customHeight="1">
      <c r="J810" s="88"/>
    </row>
    <row r="811" ht="15.75" customHeight="1">
      <c r="J811" s="88"/>
    </row>
    <row r="812" ht="15.75" customHeight="1">
      <c r="J812" s="88"/>
    </row>
    <row r="813" ht="15.75" customHeight="1">
      <c r="J813" s="88"/>
    </row>
    <row r="814" ht="15.75" customHeight="1">
      <c r="J814" s="88"/>
    </row>
    <row r="815" ht="15.75" customHeight="1">
      <c r="J815" s="88"/>
    </row>
    <row r="816" ht="15.75" customHeight="1">
      <c r="J816" s="88"/>
    </row>
    <row r="817" ht="15.75" customHeight="1">
      <c r="J817" s="88"/>
    </row>
    <row r="818" ht="15.75" customHeight="1">
      <c r="J818" s="88"/>
    </row>
    <row r="819" ht="15.75" customHeight="1">
      <c r="J819" s="88"/>
    </row>
    <row r="820" ht="15.75" customHeight="1">
      <c r="J820" s="88"/>
    </row>
    <row r="821" ht="15.75" customHeight="1">
      <c r="J821" s="88"/>
    </row>
    <row r="822" ht="15.75" customHeight="1">
      <c r="J822" s="88"/>
    </row>
    <row r="823" ht="15.75" customHeight="1">
      <c r="J823" s="88"/>
    </row>
    <row r="824" ht="15.75" customHeight="1">
      <c r="J824" s="88"/>
    </row>
    <row r="825" ht="15.75" customHeight="1">
      <c r="J825" s="88"/>
    </row>
    <row r="826" ht="15.75" customHeight="1">
      <c r="J826" s="88"/>
    </row>
    <row r="827" ht="15.75" customHeight="1">
      <c r="J827" s="88"/>
    </row>
    <row r="828" ht="15.75" customHeight="1">
      <c r="J828" s="88"/>
    </row>
    <row r="829" ht="15.75" customHeight="1">
      <c r="J829" s="88"/>
    </row>
    <row r="830" ht="15.75" customHeight="1">
      <c r="J830" s="88"/>
    </row>
    <row r="831" ht="15.75" customHeight="1">
      <c r="J831" s="88"/>
    </row>
    <row r="832" ht="15.75" customHeight="1">
      <c r="J832" s="88"/>
    </row>
    <row r="833" ht="15.75" customHeight="1">
      <c r="J833" s="88"/>
    </row>
    <row r="834" ht="15.75" customHeight="1">
      <c r="J834" s="88"/>
    </row>
    <row r="835" ht="15.75" customHeight="1">
      <c r="J835" s="88"/>
    </row>
    <row r="836" ht="15.75" customHeight="1">
      <c r="J836" s="88"/>
    </row>
    <row r="837" ht="15.75" customHeight="1">
      <c r="J837" s="88"/>
    </row>
    <row r="838" ht="15.75" customHeight="1">
      <c r="J838" s="88"/>
    </row>
    <row r="839" ht="15.75" customHeight="1">
      <c r="J839" s="88"/>
    </row>
    <row r="840" ht="15.75" customHeight="1">
      <c r="J840" s="88"/>
    </row>
    <row r="841" ht="15.75" customHeight="1">
      <c r="J841" s="88"/>
    </row>
    <row r="842" ht="15.75" customHeight="1">
      <c r="J842" s="88"/>
    </row>
    <row r="843" ht="15.75" customHeight="1">
      <c r="J843" s="88"/>
    </row>
    <row r="844" ht="15.75" customHeight="1">
      <c r="J844" s="88"/>
    </row>
    <row r="845" ht="15.75" customHeight="1">
      <c r="J845" s="88"/>
    </row>
    <row r="846" ht="15.75" customHeight="1">
      <c r="J846" s="88"/>
    </row>
    <row r="847" ht="15.75" customHeight="1">
      <c r="J847" s="88"/>
    </row>
    <row r="848" ht="15.75" customHeight="1">
      <c r="J848" s="88"/>
    </row>
    <row r="849" ht="15.75" customHeight="1">
      <c r="J849" s="88"/>
    </row>
    <row r="850" ht="15.75" customHeight="1">
      <c r="J850" s="88"/>
    </row>
    <row r="851" ht="15.75" customHeight="1">
      <c r="J851" s="88"/>
    </row>
    <row r="852" ht="15.75" customHeight="1">
      <c r="J852" s="88"/>
    </row>
    <row r="853" ht="15.75" customHeight="1">
      <c r="J853" s="88"/>
    </row>
    <row r="854" ht="15.75" customHeight="1">
      <c r="J854" s="88"/>
    </row>
    <row r="855" ht="15.75" customHeight="1">
      <c r="J855" s="88"/>
    </row>
    <row r="856" ht="15.75" customHeight="1">
      <c r="J856" s="88"/>
    </row>
    <row r="857" ht="15.75" customHeight="1">
      <c r="J857" s="88"/>
    </row>
    <row r="858" ht="15.75" customHeight="1">
      <c r="J858" s="88"/>
    </row>
    <row r="859" ht="15.75" customHeight="1">
      <c r="J859" s="88"/>
    </row>
    <row r="860" ht="15.75" customHeight="1">
      <c r="J860" s="88"/>
    </row>
    <row r="861" ht="15.75" customHeight="1">
      <c r="J861" s="88"/>
    </row>
    <row r="862" ht="15.75" customHeight="1">
      <c r="J862" s="88"/>
    </row>
    <row r="863" ht="15.75" customHeight="1">
      <c r="J863" s="88"/>
    </row>
    <row r="864" ht="15.75" customHeight="1">
      <c r="J864" s="88"/>
    </row>
    <row r="865" ht="15.75" customHeight="1">
      <c r="J865" s="88"/>
    </row>
    <row r="866" ht="15.75" customHeight="1">
      <c r="J866" s="88"/>
    </row>
    <row r="867" ht="15.75" customHeight="1">
      <c r="J867" s="88"/>
    </row>
    <row r="868" ht="15.75" customHeight="1">
      <c r="J868" s="88"/>
    </row>
    <row r="869" ht="15.75" customHeight="1">
      <c r="J869" s="88"/>
    </row>
    <row r="870" ht="15.75" customHeight="1">
      <c r="J870" s="88"/>
    </row>
    <row r="871" ht="15.75" customHeight="1">
      <c r="J871" s="88"/>
    </row>
    <row r="872" ht="15.75" customHeight="1">
      <c r="J872" s="88"/>
    </row>
    <row r="873" ht="15.75" customHeight="1">
      <c r="J873" s="88"/>
    </row>
    <row r="874" ht="15.75" customHeight="1">
      <c r="J874" s="88"/>
    </row>
    <row r="875" ht="15.75" customHeight="1">
      <c r="J875" s="88"/>
    </row>
    <row r="876" ht="15.75" customHeight="1">
      <c r="J876" s="88"/>
    </row>
    <row r="877" ht="15.75" customHeight="1">
      <c r="J877" s="88"/>
    </row>
    <row r="878" ht="15.75" customHeight="1">
      <c r="J878" s="88"/>
    </row>
    <row r="879" ht="15.75" customHeight="1">
      <c r="J879" s="88"/>
    </row>
    <row r="880" ht="15.75" customHeight="1">
      <c r="J880" s="88"/>
    </row>
    <row r="881" ht="15.75" customHeight="1">
      <c r="J881" s="88"/>
    </row>
    <row r="882" ht="15.75" customHeight="1">
      <c r="J882" s="88"/>
    </row>
    <row r="883" ht="15.75" customHeight="1">
      <c r="J883" s="88"/>
    </row>
    <row r="884" ht="15.75" customHeight="1">
      <c r="J884" s="88"/>
    </row>
    <row r="885" ht="15.75" customHeight="1">
      <c r="J885" s="88"/>
    </row>
    <row r="886" ht="15.75" customHeight="1">
      <c r="J886" s="88"/>
    </row>
    <row r="887" ht="15.75" customHeight="1">
      <c r="J887" s="88"/>
    </row>
    <row r="888" ht="15.75" customHeight="1">
      <c r="J888" s="88"/>
    </row>
    <row r="889" ht="15.75" customHeight="1">
      <c r="J889" s="88"/>
    </row>
    <row r="890" ht="15.75" customHeight="1">
      <c r="J890" s="88"/>
    </row>
    <row r="891" ht="15.75" customHeight="1">
      <c r="J891" s="88"/>
    </row>
    <row r="892" ht="15.75" customHeight="1">
      <c r="J892" s="88"/>
    </row>
    <row r="893" ht="15.75" customHeight="1">
      <c r="J893" s="88"/>
    </row>
    <row r="894" ht="15.75" customHeight="1">
      <c r="J894" s="88"/>
    </row>
    <row r="895" ht="15.75" customHeight="1">
      <c r="J895" s="88"/>
    </row>
    <row r="896" ht="15.75" customHeight="1">
      <c r="J896" s="88"/>
    </row>
    <row r="897" ht="15.75" customHeight="1">
      <c r="J897" s="88"/>
    </row>
    <row r="898" ht="15.75" customHeight="1">
      <c r="J898" s="88"/>
    </row>
    <row r="899" ht="15.75" customHeight="1">
      <c r="J899" s="88"/>
    </row>
    <row r="900" ht="15.75" customHeight="1">
      <c r="J900" s="88"/>
    </row>
    <row r="901" ht="15.75" customHeight="1">
      <c r="J901" s="88"/>
    </row>
    <row r="902" ht="15.75" customHeight="1">
      <c r="J902" s="88"/>
    </row>
    <row r="903" ht="15.75" customHeight="1">
      <c r="J903" s="88"/>
    </row>
    <row r="904" ht="15.75" customHeight="1">
      <c r="J904" s="88"/>
    </row>
    <row r="905" ht="15.75" customHeight="1">
      <c r="J905" s="88"/>
    </row>
    <row r="906" ht="15.75" customHeight="1">
      <c r="J906" s="88"/>
    </row>
    <row r="907" ht="15.75" customHeight="1">
      <c r="J907" s="88"/>
    </row>
    <row r="908" ht="15.75" customHeight="1">
      <c r="J908" s="88"/>
    </row>
    <row r="909" ht="15.75" customHeight="1">
      <c r="J909" s="88"/>
    </row>
    <row r="910" ht="15.75" customHeight="1">
      <c r="J910" s="88"/>
    </row>
    <row r="911" ht="15.75" customHeight="1">
      <c r="J911" s="88"/>
    </row>
    <row r="912" ht="15.75" customHeight="1">
      <c r="J912" s="88"/>
    </row>
    <row r="913" ht="15.75" customHeight="1">
      <c r="J913" s="88"/>
    </row>
    <row r="914" ht="15.75" customHeight="1">
      <c r="J914" s="88"/>
    </row>
    <row r="915" ht="15.75" customHeight="1">
      <c r="J915" s="88"/>
    </row>
    <row r="916" ht="15.75" customHeight="1">
      <c r="J916" s="88"/>
    </row>
    <row r="917" ht="15.75" customHeight="1">
      <c r="J917" s="88"/>
    </row>
    <row r="918" ht="15.75" customHeight="1">
      <c r="J918" s="88"/>
    </row>
    <row r="919" ht="15.75" customHeight="1">
      <c r="J919" s="88"/>
    </row>
    <row r="920" ht="15.75" customHeight="1">
      <c r="J920" s="88"/>
    </row>
    <row r="921" ht="15.75" customHeight="1">
      <c r="J921" s="88"/>
    </row>
    <row r="922" ht="15.75" customHeight="1">
      <c r="J922" s="88"/>
    </row>
    <row r="923" ht="15.75" customHeight="1">
      <c r="J923" s="88"/>
    </row>
    <row r="924" ht="15.75" customHeight="1">
      <c r="J924" s="88"/>
    </row>
    <row r="925" ht="15.75" customHeight="1">
      <c r="J925" s="88"/>
    </row>
    <row r="926" ht="15.75" customHeight="1">
      <c r="J926" s="88"/>
    </row>
    <row r="927" ht="15.75" customHeight="1">
      <c r="J927" s="88"/>
    </row>
    <row r="928" ht="15.75" customHeight="1">
      <c r="J928" s="88"/>
    </row>
    <row r="929" ht="15.75" customHeight="1">
      <c r="J929" s="88"/>
    </row>
    <row r="930" ht="15.75" customHeight="1">
      <c r="J930" s="88"/>
    </row>
    <row r="931" ht="15.75" customHeight="1">
      <c r="J931" s="88"/>
    </row>
    <row r="932" ht="15.75" customHeight="1">
      <c r="J932" s="88"/>
    </row>
    <row r="933" ht="15.75" customHeight="1">
      <c r="J933" s="88"/>
    </row>
    <row r="934" ht="15.75" customHeight="1">
      <c r="J934" s="88"/>
    </row>
    <row r="935" ht="15.75" customHeight="1">
      <c r="J935" s="88"/>
    </row>
    <row r="936" ht="15.75" customHeight="1">
      <c r="J936" s="88"/>
    </row>
    <row r="937" ht="15.75" customHeight="1">
      <c r="J937" s="88"/>
    </row>
    <row r="938" ht="15.75" customHeight="1">
      <c r="J938" s="88"/>
    </row>
    <row r="939" ht="15.75" customHeight="1">
      <c r="J939" s="88"/>
    </row>
    <row r="940" ht="15.75" customHeight="1">
      <c r="J940" s="88"/>
    </row>
    <row r="941" ht="15.75" customHeight="1">
      <c r="J941" s="88"/>
    </row>
    <row r="942" ht="15.75" customHeight="1">
      <c r="J942" s="88"/>
    </row>
    <row r="943" ht="15.75" customHeight="1">
      <c r="J943" s="88"/>
    </row>
    <row r="944" ht="15.75" customHeight="1">
      <c r="J944" s="88"/>
    </row>
    <row r="945" ht="15.75" customHeight="1">
      <c r="J945" s="88"/>
    </row>
    <row r="946" ht="15.75" customHeight="1">
      <c r="J946" s="88"/>
    </row>
    <row r="947" ht="15.75" customHeight="1">
      <c r="J947" s="88"/>
    </row>
    <row r="948" ht="15.75" customHeight="1">
      <c r="J948" s="88"/>
    </row>
    <row r="949" ht="15.75" customHeight="1">
      <c r="J949" s="88"/>
    </row>
    <row r="950" ht="15.75" customHeight="1">
      <c r="J950" s="88"/>
    </row>
    <row r="951" ht="15.75" customHeight="1">
      <c r="J951" s="88"/>
    </row>
    <row r="952" ht="15.75" customHeight="1">
      <c r="J952" s="88"/>
    </row>
    <row r="953" ht="15.75" customHeight="1">
      <c r="J953" s="88"/>
    </row>
    <row r="954" ht="15.75" customHeight="1">
      <c r="J954" s="88"/>
    </row>
    <row r="955" ht="15.75" customHeight="1">
      <c r="J955" s="88"/>
    </row>
    <row r="956" ht="15.75" customHeight="1">
      <c r="J956" s="88"/>
    </row>
    <row r="957" ht="15.75" customHeight="1">
      <c r="J957" s="88"/>
    </row>
    <row r="958" ht="15.75" customHeight="1">
      <c r="J958" s="88"/>
    </row>
    <row r="959" ht="15.75" customHeight="1">
      <c r="J959" s="88"/>
    </row>
    <row r="960" ht="15.75" customHeight="1">
      <c r="J960" s="88"/>
    </row>
    <row r="961" ht="15.75" customHeight="1">
      <c r="J961" s="88"/>
    </row>
    <row r="962" ht="15.75" customHeight="1">
      <c r="J962" s="88"/>
    </row>
    <row r="963" ht="15.75" customHeight="1">
      <c r="J963" s="88"/>
    </row>
    <row r="964" ht="15.75" customHeight="1">
      <c r="J964" s="88"/>
    </row>
    <row r="965" ht="15.75" customHeight="1">
      <c r="J965" s="88"/>
    </row>
    <row r="966" ht="15.75" customHeight="1">
      <c r="J966" s="88"/>
    </row>
    <row r="967" ht="15.75" customHeight="1">
      <c r="J967" s="88"/>
    </row>
    <row r="968" ht="15.75" customHeight="1">
      <c r="J968" s="88"/>
    </row>
    <row r="969" ht="15.75" customHeight="1">
      <c r="J969" s="88"/>
    </row>
    <row r="970" ht="15.75" customHeight="1">
      <c r="J970" s="88"/>
    </row>
    <row r="971" ht="15.75" customHeight="1">
      <c r="J971" s="88"/>
    </row>
    <row r="972" ht="15.75" customHeight="1">
      <c r="J972" s="88"/>
    </row>
    <row r="973" ht="15.75" customHeight="1">
      <c r="J973" s="88"/>
    </row>
    <row r="974" ht="15.75" customHeight="1">
      <c r="J974" s="88"/>
    </row>
    <row r="975" ht="15.75" customHeight="1">
      <c r="J975" s="88"/>
    </row>
    <row r="976" ht="15.75" customHeight="1">
      <c r="J976" s="88"/>
    </row>
    <row r="977" ht="15.75" customHeight="1">
      <c r="J977" s="88"/>
    </row>
    <row r="978" ht="15.75" customHeight="1">
      <c r="J978" s="88"/>
    </row>
    <row r="979" ht="15.75" customHeight="1">
      <c r="J979" s="88"/>
    </row>
    <row r="980" ht="15.75" customHeight="1">
      <c r="J980" s="88"/>
    </row>
    <row r="981" ht="15.75" customHeight="1">
      <c r="J981" s="88"/>
    </row>
    <row r="982" ht="15.75" customHeight="1">
      <c r="J982" s="88"/>
    </row>
    <row r="983" ht="15.75" customHeight="1">
      <c r="J983" s="88"/>
    </row>
    <row r="984" ht="15.75" customHeight="1">
      <c r="J984" s="88"/>
    </row>
    <row r="985" ht="15.75" customHeight="1">
      <c r="J985" s="88"/>
    </row>
    <row r="986" ht="15.75" customHeight="1">
      <c r="J986" s="88"/>
    </row>
    <row r="987" ht="15.75" customHeight="1">
      <c r="J987" s="88"/>
    </row>
    <row r="988" ht="15.75" customHeight="1">
      <c r="J988" s="88"/>
    </row>
    <row r="989" ht="15.75" customHeight="1">
      <c r="J989" s="88"/>
    </row>
    <row r="990" ht="15.75" customHeight="1">
      <c r="J990" s="88"/>
    </row>
    <row r="991" ht="15.75" customHeight="1">
      <c r="J991" s="88"/>
    </row>
    <row r="992" ht="15.75" customHeight="1">
      <c r="J992" s="88"/>
    </row>
    <row r="993" ht="15.75" customHeight="1">
      <c r="J993" s="88"/>
    </row>
    <row r="994" ht="15.75" customHeight="1">
      <c r="J994" s="88"/>
    </row>
    <row r="995" ht="15.75" customHeight="1">
      <c r="J995" s="88"/>
    </row>
    <row r="996" ht="15.75" customHeight="1">
      <c r="J996" s="88"/>
    </row>
    <row r="997" ht="15.75" customHeight="1">
      <c r="J997" s="88"/>
    </row>
    <row r="998" ht="15.75" customHeight="1">
      <c r="J998" s="88"/>
    </row>
    <row r="999" ht="15.75" customHeight="1">
      <c r="J999" s="88"/>
    </row>
    <row r="1000" ht="15.75" customHeight="1">
      <c r="J1000" s="88"/>
    </row>
    <row r="1001" ht="15.75" customHeight="1">
      <c r="J1001" s="88"/>
    </row>
  </sheetData>
  <autoFilter ref="$A$4:$P$20"/>
  <mergeCells count="2">
    <mergeCell ref="A1:P1"/>
    <mergeCell ref="A2:P2"/>
  </mergeCells>
  <conditionalFormatting sqref="D5:D20">
    <cfRule type="expression" dxfId="0" priority="1">
      <formula>LEFT($D5,1)="A"</formula>
    </cfRule>
  </conditionalFormatting>
  <conditionalFormatting sqref="D5:D20">
    <cfRule type="expression" dxfId="1" priority="2">
      <formula>LEFT($D5,1)="B"</formula>
    </cfRule>
  </conditionalFormatting>
  <conditionalFormatting sqref="D5:D20">
    <cfRule type="expression" dxfId="2" priority="3">
      <formula>LEFT($D5,1)="C"</formula>
    </cfRule>
  </conditionalFormatting>
  <conditionalFormatting sqref="D5:D20">
    <cfRule type="expression" dxfId="3" priority="4">
      <formula>LEFT($D5,1)="D"</formula>
    </cfRule>
  </conditionalFormatting>
  <conditionalFormatting sqref="M5:M20">
    <cfRule type="expression" dxfId="4" priority="5">
      <formula>LEFT($M5,6)="Sóng 1"</formula>
    </cfRule>
  </conditionalFormatting>
  <conditionalFormatting sqref="O5:O20">
    <cfRule type="cellIs" dxfId="5" priority="6" operator="equal">
      <formula>"Đã đăng"</formula>
    </cfRule>
  </conditionalFormatting>
  <dataValidations>
    <dataValidation type="list" allowBlank="1" sqref="O5:O61">
      <formula1>"Chưa làm,Đang viết,Chờ BS duyệt,Chờ Pháp chế,Chờ GXNNDQC,Đã đăng,Tạm dừng"</formula1>
    </dataValidation>
    <dataValidation type="list" allowBlank="1" sqref="M5:M61">
      <formula1>"Sóng 1 · 0–30 ngày,Sóng 2 · 31–60 ngày,Sóng 3 · 61–90 ngày,Nền · sau 90 ngày"</formula1>
    </dataValidation>
  </dataValidations>
  <printOptions/>
  <pageMargins bottom="1.0" footer="0.0" header="0.0" left="0.75" right="0.75" top="1.0"/>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8E7E"/>
    <pageSetUpPr fitToPage="1"/>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outlineLevelCol="1"/>
  <cols>
    <col customWidth="1" min="1" max="1" width="5.0"/>
    <col customWidth="1" min="2" max="2" width="58.0"/>
    <col customWidth="1" min="3" max="3" width="20.0"/>
    <col customWidth="1" min="4" max="4" width="8.0"/>
    <col customWidth="1" min="5" max="5" width="17.0"/>
    <col customWidth="1" min="6" max="7" width="10.0"/>
    <col customWidth="1" min="8" max="8" width="11.0"/>
    <col customWidth="1" min="9" max="9" width="10.0"/>
    <col customWidth="1" min="10" max="10" width="30.0"/>
    <col customWidth="1" min="11" max="26" width="8.71"/>
  </cols>
  <sheetData>
    <row r="1" ht="30.0" customHeight="1">
      <c r="A1" s="2" t="s">
        <v>372</v>
      </c>
      <c r="B1" s="4"/>
      <c r="C1" s="4"/>
      <c r="D1" s="4"/>
      <c r="E1" s="4"/>
      <c r="F1" s="4"/>
      <c r="G1" s="4"/>
      <c r="H1" s="4"/>
      <c r="I1" s="4"/>
      <c r="J1" s="5"/>
    </row>
    <row r="2" ht="43.5" customHeight="1">
      <c r="A2" s="7" t="s">
        <v>375</v>
      </c>
      <c r="B2" s="4"/>
      <c r="C2" s="4"/>
      <c r="D2" s="4"/>
      <c r="E2" s="4"/>
      <c r="F2" s="4"/>
      <c r="G2" s="4"/>
      <c r="H2" s="4"/>
      <c r="I2" s="4"/>
      <c r="J2" s="5"/>
    </row>
    <row r="3" ht="27.75" customHeight="1">
      <c r="A3" s="10" t="s">
        <v>379</v>
      </c>
    </row>
    <row r="4" ht="21.75" customHeight="1">
      <c r="A4" s="69" t="s">
        <v>381</v>
      </c>
      <c r="C4" s="70" t="s">
        <v>382</v>
      </c>
    </row>
    <row r="5" ht="39.75" customHeight="1">
      <c r="A5" s="3" t="s">
        <v>385</v>
      </c>
      <c r="B5" s="3" t="s">
        <v>387</v>
      </c>
      <c r="C5" s="3" t="s">
        <v>388</v>
      </c>
      <c r="D5" s="3" t="s">
        <v>389</v>
      </c>
      <c r="E5" s="3" t="s">
        <v>69</v>
      </c>
      <c r="F5" s="9" t="s">
        <v>32</v>
      </c>
      <c r="G5" s="9" t="s">
        <v>34</v>
      </c>
      <c r="H5" s="9" t="s">
        <v>36</v>
      </c>
      <c r="I5" s="9" t="s">
        <v>393</v>
      </c>
      <c r="J5" s="3" t="s">
        <v>38</v>
      </c>
    </row>
    <row r="6" ht="33.0" customHeight="1">
      <c r="A6" s="21">
        <v>1.0</v>
      </c>
      <c r="B6" s="36" t="s">
        <v>394</v>
      </c>
      <c r="C6" s="17" t="s">
        <v>395</v>
      </c>
      <c r="D6" s="21" t="s">
        <v>251</v>
      </c>
      <c r="E6" s="17" t="str">
        <f t="array" ref="E6">IFERROR(INDEX('3. Mũi- Bo truy van Master'!$U$5:$U$19,MATCH(D6,'3. Mũi- Bo truy van Master'!$S$5:$S$19,0)),"")</f>
        <v>A · CORE 80/20</v>
      </c>
      <c r="F6" s="44"/>
      <c r="G6" s="44"/>
      <c r="H6" s="44"/>
      <c r="I6" s="21" t="str">
        <f t="shared" ref="I6:I29" si="1">IF(COUNT(F6:H6)=0,"",SUM(F6:H6))</f>
        <v/>
      </c>
      <c r="J6" s="66"/>
    </row>
    <row r="7" ht="33.0" customHeight="1">
      <c r="A7" s="30">
        <v>2.0</v>
      </c>
      <c r="B7" s="56" t="s">
        <v>410</v>
      </c>
      <c r="C7" s="28" t="s">
        <v>411</v>
      </c>
      <c r="D7" s="30" t="s">
        <v>227</v>
      </c>
      <c r="E7" s="28" t="str">
        <f t="array" ref="E7">IFERROR(INDEX('3. Mũi- Bo truy van Master'!$U$5:$U$19,MATCH(D7,'3. Mũi- Bo truy van Master'!$S$5:$S$19,0)),"")</f>
        <v>A · CORE 80/20</v>
      </c>
      <c r="F7" s="44"/>
      <c r="G7" s="44"/>
      <c r="H7" s="44"/>
      <c r="I7" s="30" t="str">
        <f t="shared" si="1"/>
        <v/>
      </c>
      <c r="J7" s="66"/>
    </row>
    <row r="8" ht="33.0" customHeight="1">
      <c r="A8" s="21">
        <v>3.0</v>
      </c>
      <c r="B8" s="36" t="s">
        <v>416</v>
      </c>
      <c r="C8" s="17" t="s">
        <v>418</v>
      </c>
      <c r="D8" s="21" t="s">
        <v>115</v>
      </c>
      <c r="E8" s="17" t="str">
        <f t="array" ref="E8">IFERROR(INDEX('3. Mũi- Bo truy van Master'!$U$5:$U$19,MATCH(D8,'3. Mũi- Bo truy van Master'!$S$5:$S$19,0)),"")</f>
        <v>A · CORE 80/20</v>
      </c>
      <c r="F8" s="44"/>
      <c r="G8" s="44"/>
      <c r="H8" s="44"/>
      <c r="I8" s="21" t="str">
        <f t="shared" si="1"/>
        <v/>
      </c>
      <c r="J8" s="66"/>
    </row>
    <row r="9" ht="27.75" customHeight="1">
      <c r="A9" s="30">
        <v>4.0</v>
      </c>
      <c r="B9" s="56" t="s">
        <v>428</v>
      </c>
      <c r="C9" s="28" t="s">
        <v>429</v>
      </c>
      <c r="D9" s="30" t="s">
        <v>272</v>
      </c>
      <c r="E9" s="28" t="str">
        <f t="array" ref="E9">IFERROR(INDEX('3. Mũi- Bo truy van Master'!$U$5:$U$19,MATCH(D9,'3. Mũi- Bo truy van Master'!$S$5:$S$19,0)),"")</f>
        <v>A · CORE 80/20</v>
      </c>
      <c r="F9" s="44"/>
      <c r="G9" s="44"/>
      <c r="H9" s="44"/>
      <c r="I9" s="30" t="str">
        <f t="shared" si="1"/>
        <v/>
      </c>
      <c r="J9" s="66"/>
    </row>
    <row r="10" ht="33.0" customHeight="1">
      <c r="A10" s="21">
        <v>5.0</v>
      </c>
      <c r="B10" s="36" t="s">
        <v>435</v>
      </c>
      <c r="C10" s="17" t="s">
        <v>436</v>
      </c>
      <c r="D10" s="21" t="s">
        <v>272</v>
      </c>
      <c r="E10" s="17" t="str">
        <f t="array" ref="E10">IFERROR(INDEX('3. Mũi- Bo truy van Master'!$U$5:$U$19,MATCH(D10,'3. Mũi- Bo truy van Master'!$S$5:$S$19,0)),"")</f>
        <v>A · CORE 80/20</v>
      </c>
      <c r="F10" s="44"/>
      <c r="G10" s="44"/>
      <c r="H10" s="44"/>
      <c r="I10" s="21" t="str">
        <f t="shared" si="1"/>
        <v/>
      </c>
      <c r="J10" s="66"/>
    </row>
    <row r="11" ht="33.0" customHeight="1">
      <c r="A11" s="30">
        <v>6.0</v>
      </c>
      <c r="B11" s="56" t="s">
        <v>446</v>
      </c>
      <c r="C11" s="28" t="s">
        <v>447</v>
      </c>
      <c r="D11" s="30" t="s">
        <v>373</v>
      </c>
      <c r="E11" s="28" t="str">
        <f t="array" ref="E11">IFERROR(INDEX('3. Mũi- Bo truy van Master'!$U$5:$U$19,MATCH(D11,'3. Mũi- Bo truy van Master'!$S$5:$S$19,0)),"")</f>
        <v>B · Đòn bẩy chuyển đổi</v>
      </c>
      <c r="F11" s="44"/>
      <c r="G11" s="44"/>
      <c r="H11" s="44"/>
      <c r="I11" s="30" t="str">
        <f t="shared" si="1"/>
        <v/>
      </c>
      <c r="J11" s="66"/>
    </row>
    <row r="12" ht="33.0" customHeight="1">
      <c r="A12" s="21">
        <v>7.0</v>
      </c>
      <c r="B12" s="36" t="s">
        <v>452</v>
      </c>
      <c r="C12" s="17" t="s">
        <v>453</v>
      </c>
      <c r="D12" s="21" t="s">
        <v>175</v>
      </c>
      <c r="E12" s="17" t="str">
        <f t="array" ref="E12">IFERROR(INDEX('3. Mũi- Bo truy van Master'!$U$5:$U$19,MATCH(D12,'3. Mũi- Bo truy van Master'!$S$5:$S$19,0)),"")</f>
        <v>A · CORE 80/20</v>
      </c>
      <c r="F12" s="44"/>
      <c r="G12" s="44"/>
      <c r="H12" s="44"/>
      <c r="I12" s="21" t="str">
        <f t="shared" si="1"/>
        <v/>
      </c>
      <c r="J12" s="66"/>
    </row>
    <row r="13" ht="33.0" customHeight="1">
      <c r="A13" s="30">
        <v>8.0</v>
      </c>
      <c r="B13" s="56" t="s">
        <v>465</v>
      </c>
      <c r="C13" s="28" t="s">
        <v>466</v>
      </c>
      <c r="D13" s="30" t="s">
        <v>354</v>
      </c>
      <c r="E13" s="28" t="str">
        <f t="array" ref="E13">IFERROR(INDEX('3. Mũi- Bo truy van Master'!$U$5:$U$19,MATCH(D13,'3. Mũi- Bo truy van Master'!$S$5:$S$19,0)),"")</f>
        <v>B · Đòn bẩy chuyển đổi</v>
      </c>
      <c r="F13" s="44"/>
      <c r="G13" s="44"/>
      <c r="H13" s="44"/>
      <c r="I13" s="30" t="str">
        <f t="shared" si="1"/>
        <v/>
      </c>
      <c r="J13" s="66"/>
    </row>
    <row r="14" ht="27.75" customHeight="1">
      <c r="A14" s="21">
        <v>9.0</v>
      </c>
      <c r="B14" s="36" t="s">
        <v>471</v>
      </c>
      <c r="C14" s="17" t="s">
        <v>473</v>
      </c>
      <c r="D14" s="21" t="s">
        <v>124</v>
      </c>
      <c r="E14" s="17" t="str">
        <f t="array" ref="E14">IFERROR(INDEX('3. Mũi- Bo truy van Master'!$U$5:$U$19,MATCH(D14,'3. Mũi- Bo truy van Master'!$S$5:$S$19,0)),"")</f>
        <v>C · Uy tín &amp; giữ chân</v>
      </c>
      <c r="F14" s="44"/>
      <c r="G14" s="44"/>
      <c r="H14" s="44"/>
      <c r="I14" s="21" t="str">
        <f t="shared" si="1"/>
        <v/>
      </c>
      <c r="J14" s="66"/>
    </row>
    <row r="15" ht="33.0" customHeight="1">
      <c r="A15" s="30">
        <v>10.0</v>
      </c>
      <c r="B15" s="56" t="s">
        <v>482</v>
      </c>
      <c r="C15" s="28" t="s">
        <v>483</v>
      </c>
      <c r="D15" s="30" t="s">
        <v>319</v>
      </c>
      <c r="E15" s="28" t="str">
        <f t="array" ref="E15">IFERROR(INDEX('3. Mũi- Bo truy van Master'!$U$5:$U$19,MATCH(D15,'3. Mũi- Bo truy van Master'!$S$5:$S$19,0)),"")</f>
        <v>B · Đòn bẩy chuyển đổi</v>
      </c>
      <c r="F15" s="44"/>
      <c r="G15" s="44"/>
      <c r="H15" s="44"/>
      <c r="I15" s="30" t="str">
        <f t="shared" si="1"/>
        <v/>
      </c>
      <c r="J15" s="66"/>
    </row>
    <row r="16" ht="27.75" customHeight="1">
      <c r="A16" s="21">
        <v>11.0</v>
      </c>
      <c r="B16" s="36" t="s">
        <v>488</v>
      </c>
      <c r="C16" s="17" t="s">
        <v>418</v>
      </c>
      <c r="D16" s="21" t="s">
        <v>115</v>
      </c>
      <c r="E16" s="17" t="str">
        <f t="array" ref="E16">IFERROR(INDEX('3. Mũi- Bo truy van Master'!$U$5:$U$19,MATCH(D16,'3. Mũi- Bo truy van Master'!$S$5:$S$19,0)),"")</f>
        <v>A · CORE 80/20</v>
      </c>
      <c r="F16" s="44"/>
      <c r="G16" s="44"/>
      <c r="H16" s="44"/>
      <c r="I16" s="21" t="str">
        <f t="shared" si="1"/>
        <v/>
      </c>
      <c r="J16" s="66"/>
    </row>
    <row r="17" ht="33.0" customHeight="1">
      <c r="A17" s="30">
        <v>12.0</v>
      </c>
      <c r="B17" s="56" t="s">
        <v>497</v>
      </c>
      <c r="C17" s="28" t="s">
        <v>499</v>
      </c>
      <c r="D17" s="30" t="s">
        <v>251</v>
      </c>
      <c r="E17" s="28" t="str">
        <f t="array" ref="E17">IFERROR(INDEX('3. Mũi- Bo truy van Master'!$U$5:$U$19,MATCH(D17,'3. Mũi- Bo truy van Master'!$S$5:$S$19,0)),"")</f>
        <v>A · CORE 80/20</v>
      </c>
      <c r="F17" s="44"/>
      <c r="G17" s="44"/>
      <c r="H17" s="44"/>
      <c r="I17" s="30" t="str">
        <f t="shared" si="1"/>
        <v/>
      </c>
      <c r="J17" s="66"/>
    </row>
    <row r="18" ht="33.0" customHeight="1">
      <c r="A18" s="21">
        <v>13.0</v>
      </c>
      <c r="B18" s="36" t="s">
        <v>505</v>
      </c>
      <c r="C18" s="17" t="s">
        <v>506</v>
      </c>
      <c r="D18" s="21" t="s">
        <v>299</v>
      </c>
      <c r="E18" s="17" t="str">
        <f t="array" ref="E18">IFERROR(INDEX('3. Mũi- Bo truy van Master'!$U$5:$U$19,MATCH(D18,'3. Mũi- Bo truy van Master'!$S$5:$S$19,0)),"")</f>
        <v>B · Đòn bẩy chuyển đổi</v>
      </c>
      <c r="F18" s="44"/>
      <c r="G18" s="44"/>
      <c r="H18" s="44"/>
      <c r="I18" s="21" t="str">
        <f t="shared" si="1"/>
        <v/>
      </c>
      <c r="J18" s="66"/>
    </row>
    <row r="19" ht="33.0" customHeight="1">
      <c r="A19" s="30">
        <v>14.0</v>
      </c>
      <c r="B19" s="56" t="s">
        <v>510</v>
      </c>
      <c r="C19" s="28" t="s">
        <v>512</v>
      </c>
      <c r="D19" s="30" t="s">
        <v>354</v>
      </c>
      <c r="E19" s="28" t="str">
        <f t="array" ref="E19">IFERROR(INDEX('3. Mũi- Bo truy van Master'!$U$5:$U$19,MATCH(D19,'3. Mũi- Bo truy van Master'!$S$5:$S$19,0)),"")</f>
        <v>B · Đòn bẩy chuyển đổi</v>
      </c>
      <c r="F19" s="44"/>
      <c r="G19" s="44"/>
      <c r="H19" s="44"/>
      <c r="I19" s="30" t="str">
        <f t="shared" si="1"/>
        <v/>
      </c>
      <c r="J19" s="66"/>
    </row>
    <row r="20" ht="33.0" customHeight="1">
      <c r="A20" s="21">
        <v>15.0</v>
      </c>
      <c r="B20" s="36" t="s">
        <v>521</v>
      </c>
      <c r="C20" s="17" t="s">
        <v>522</v>
      </c>
      <c r="D20" s="21" t="s">
        <v>339</v>
      </c>
      <c r="E20" s="17" t="str">
        <f t="array" ref="E20">IFERROR(INDEX('3. Mũi- Bo truy van Master'!$U$5:$U$19,MATCH(D20,'3. Mũi- Bo truy van Master'!$S$5:$S$19,0)),"")</f>
        <v>C · Uy tín &amp; giữ chân</v>
      </c>
      <c r="F20" s="44"/>
      <c r="G20" s="44"/>
      <c r="H20" s="44"/>
      <c r="I20" s="21" t="str">
        <f t="shared" si="1"/>
        <v/>
      </c>
      <c r="J20" s="66"/>
    </row>
    <row r="21" ht="27.75" customHeight="1">
      <c r="A21" s="30">
        <v>16.0</v>
      </c>
      <c r="B21" s="56" t="s">
        <v>530</v>
      </c>
      <c r="C21" s="28" t="s">
        <v>531</v>
      </c>
      <c r="D21" s="30" t="s">
        <v>251</v>
      </c>
      <c r="E21" s="28" t="str">
        <f t="array" ref="E21">IFERROR(INDEX('3. Mũi- Bo truy van Master'!$U$5:$U$19,MATCH(D21,'3. Mũi- Bo truy van Master'!$S$5:$S$19,0)),"")</f>
        <v>A · CORE 80/20</v>
      </c>
      <c r="F21" s="44"/>
      <c r="G21" s="44"/>
      <c r="H21" s="44"/>
      <c r="I21" s="30" t="str">
        <f t="shared" si="1"/>
        <v/>
      </c>
      <c r="J21" s="66"/>
    </row>
    <row r="22" ht="33.0" customHeight="1">
      <c r="A22" s="21">
        <v>17.0</v>
      </c>
      <c r="B22" s="36" t="s">
        <v>534</v>
      </c>
      <c r="C22" s="17" t="s">
        <v>535</v>
      </c>
      <c r="D22" s="21" t="s">
        <v>137</v>
      </c>
      <c r="E22" s="17" t="str">
        <f t="array" ref="E22">IFERROR(INDEX('3. Mũi- Bo truy van Master'!$U$5:$U$19,MATCH(D22,'3. Mũi- Bo truy van Master'!$S$5:$S$19,0)),"")</f>
        <v>C · Uy tín &amp; giữ chân</v>
      </c>
      <c r="F22" s="44"/>
      <c r="G22" s="44"/>
      <c r="H22" s="44"/>
      <c r="I22" s="21" t="str">
        <f t="shared" si="1"/>
        <v/>
      </c>
      <c r="J22" s="66"/>
    </row>
    <row r="23" ht="27.75" customHeight="1">
      <c r="A23" s="30">
        <v>18.0</v>
      </c>
      <c r="B23" s="56" t="s">
        <v>545</v>
      </c>
      <c r="C23" s="28" t="s">
        <v>512</v>
      </c>
      <c r="D23" s="30" t="s">
        <v>354</v>
      </c>
      <c r="E23" s="28" t="str">
        <f t="array" ref="E23">IFERROR(INDEX('3. Mũi- Bo truy van Master'!$U$5:$U$19,MATCH(D23,'3. Mũi- Bo truy van Master'!$S$5:$S$19,0)),"")</f>
        <v>B · Đòn bẩy chuyển đổi</v>
      </c>
      <c r="F23" s="44"/>
      <c r="G23" s="44"/>
      <c r="H23" s="44"/>
      <c r="I23" s="30" t="str">
        <f t="shared" si="1"/>
        <v/>
      </c>
      <c r="J23" s="66"/>
    </row>
    <row r="24" ht="33.0" customHeight="1">
      <c r="A24" s="21">
        <v>19.0</v>
      </c>
      <c r="B24" s="36" t="s">
        <v>551</v>
      </c>
      <c r="C24" s="17" t="s">
        <v>553</v>
      </c>
      <c r="D24" s="21" t="s">
        <v>272</v>
      </c>
      <c r="E24" s="17" t="str">
        <f t="array" ref="E24">IFERROR(INDEX('3. Mũi- Bo truy van Master'!$U$5:$U$19,MATCH(D24,'3. Mũi- Bo truy van Master'!$S$5:$S$19,0)),"")</f>
        <v>A · CORE 80/20</v>
      </c>
      <c r="F24" s="44"/>
      <c r="G24" s="44"/>
      <c r="H24" s="44"/>
      <c r="I24" s="21" t="str">
        <f t="shared" si="1"/>
        <v/>
      </c>
      <c r="J24" s="66"/>
    </row>
    <row r="25" ht="33.0" customHeight="1">
      <c r="A25" s="30">
        <v>20.0</v>
      </c>
      <c r="B25" s="56" t="s">
        <v>559</v>
      </c>
      <c r="C25" s="28" t="s">
        <v>560</v>
      </c>
      <c r="D25" s="30" t="s">
        <v>354</v>
      </c>
      <c r="E25" s="28" t="str">
        <f t="array" ref="E25">IFERROR(INDEX('3. Mũi- Bo truy van Master'!$U$5:$U$19,MATCH(D25,'3. Mũi- Bo truy van Master'!$S$5:$S$19,0)),"")</f>
        <v>B · Đòn bẩy chuyển đổi</v>
      </c>
      <c r="F25" s="44"/>
      <c r="G25" s="44"/>
      <c r="H25" s="44"/>
      <c r="I25" s="30" t="str">
        <f t="shared" si="1"/>
        <v/>
      </c>
      <c r="J25" s="66"/>
    </row>
    <row r="26" ht="33.0" customHeight="1">
      <c r="A26" s="80">
        <v>21.0</v>
      </c>
      <c r="B26" s="36" t="s">
        <v>568</v>
      </c>
      <c r="C26" s="17" t="s">
        <v>411</v>
      </c>
      <c r="D26" s="21" t="s">
        <v>227</v>
      </c>
      <c r="E26" s="17" t="str">
        <f t="array" ref="E26">IFERROR(INDEX('3. Mũi- Bo truy van Master'!$U$5:$U$19,MATCH(D26,'3. Mũi- Bo truy van Master'!$S$5:$S$19,0)),"")</f>
        <v>A · CORE 80/20</v>
      </c>
      <c r="F26" s="44"/>
      <c r="G26" s="44"/>
      <c r="H26" s="44"/>
      <c r="I26" s="21" t="str">
        <f t="shared" si="1"/>
        <v/>
      </c>
      <c r="J26" s="66"/>
    </row>
    <row r="27" ht="33.0" customHeight="1">
      <c r="A27" s="81">
        <v>22.0</v>
      </c>
      <c r="B27" s="56" t="s">
        <v>575</v>
      </c>
      <c r="C27" s="28" t="s">
        <v>411</v>
      </c>
      <c r="D27" s="30" t="s">
        <v>227</v>
      </c>
      <c r="E27" s="28" t="str">
        <f t="array" ref="E27">IFERROR(INDEX('3. Mũi- Bo truy van Master'!$U$5:$U$19,MATCH(D27,'3. Mũi- Bo truy van Master'!$S$5:$S$19,0)),"")</f>
        <v>A · CORE 80/20</v>
      </c>
      <c r="F27" s="44"/>
      <c r="G27" s="44"/>
      <c r="H27" s="44"/>
      <c r="I27" s="30" t="str">
        <f t="shared" si="1"/>
        <v/>
      </c>
      <c r="J27" s="66"/>
    </row>
    <row r="28" ht="33.0" customHeight="1">
      <c r="A28" s="80">
        <v>23.0</v>
      </c>
      <c r="B28" s="36" t="s">
        <v>585</v>
      </c>
      <c r="C28" s="17" t="s">
        <v>453</v>
      </c>
      <c r="D28" s="21" t="s">
        <v>175</v>
      </c>
      <c r="E28" s="17" t="str">
        <f t="array" ref="E28">IFERROR(INDEX('3. Mũi- Bo truy van Master'!$U$5:$U$19,MATCH(D28,'3. Mũi- Bo truy van Master'!$S$5:$S$19,0)),"")</f>
        <v>A · CORE 80/20</v>
      </c>
      <c r="F28" s="44"/>
      <c r="G28" s="44"/>
      <c r="H28" s="44"/>
      <c r="I28" s="21" t="str">
        <f t="shared" si="1"/>
        <v/>
      </c>
      <c r="J28" s="66"/>
    </row>
    <row r="29" ht="33.0" customHeight="1">
      <c r="A29" s="81">
        <v>24.0</v>
      </c>
      <c r="B29" s="56" t="s">
        <v>590</v>
      </c>
      <c r="C29" s="28" t="s">
        <v>453</v>
      </c>
      <c r="D29" s="30" t="s">
        <v>175</v>
      </c>
      <c r="E29" s="28" t="str">
        <f t="array" ref="E29">IFERROR(INDEX('3. Mũi- Bo truy van Master'!$U$5:$U$19,MATCH(D29,'3. Mũi- Bo truy van Master'!$S$5:$S$19,0)),"")</f>
        <v>A · CORE 80/20</v>
      </c>
      <c r="F29" s="44"/>
      <c r="G29" s="44"/>
      <c r="H29" s="44"/>
      <c r="I29" s="30" t="str">
        <f t="shared" si="1"/>
        <v/>
      </c>
      <c r="J29" s="66"/>
    </row>
    <row r="30" ht="15.75" customHeight="1">
      <c r="A30" s="84"/>
      <c r="B30" s="83" t="s">
        <v>596</v>
      </c>
      <c r="C30" s="85" t="str">
        <f>"/ "&amp;COUNTA(B6:B29)&amp;" prompt"</f>
        <v>/ 24 prompt</v>
      </c>
      <c r="D30" s="84"/>
      <c r="E30" s="84"/>
      <c r="F30" s="85">
        <f t="shared" ref="F30:H30" si="2">SUM(F6:F29)</f>
        <v>0</v>
      </c>
      <c r="G30" s="85">
        <f t="shared" si="2"/>
        <v>0</v>
      </c>
      <c r="H30" s="85">
        <f t="shared" si="2"/>
        <v>0</v>
      </c>
      <c r="I30" s="84"/>
      <c r="J30" s="84"/>
    </row>
    <row r="31" ht="15.75" customHeight="1">
      <c r="A31" s="89"/>
      <c r="B31" s="90" t="s">
        <v>599</v>
      </c>
      <c r="C31" s="89"/>
      <c r="D31" s="89"/>
      <c r="E31" s="89"/>
      <c r="F31" s="91">
        <f t="shared" ref="F31:H31" si="3">IFERROR(F30/COUNTA($B$6:$B$29),0)</f>
        <v>0</v>
      </c>
      <c r="G31" s="91">
        <f t="shared" si="3"/>
        <v>0</v>
      </c>
      <c r="H31" s="91">
        <f t="shared" si="3"/>
        <v>0</v>
      </c>
      <c r="I31" s="89"/>
      <c r="J31" s="89"/>
    </row>
    <row r="32" ht="15.75" customHeight="1">
      <c r="A32" s="92"/>
      <c r="B32" s="45" t="s">
        <v>605</v>
      </c>
      <c r="C32" s="92"/>
      <c r="D32" s="92"/>
      <c r="E32" s="92"/>
      <c r="F32" s="54">
        <f t="shared" ref="F32:H32" si="4">IFERROR(SUMPRODUCT((LEFT($E$6:$E$29,1)="A")*(F6:F29))/COUNTIF($E$6:$E$29,"A*"),0)</f>
        <v>0</v>
      </c>
      <c r="G32" s="54">
        <f t="shared" si="4"/>
        <v>0</v>
      </c>
      <c r="H32" s="54">
        <f t="shared" si="4"/>
        <v>0</v>
      </c>
      <c r="I32" s="92"/>
      <c r="J32" s="92"/>
    </row>
    <row r="33" ht="15.75" customHeight="1">
      <c r="F33" s="43"/>
      <c r="G33" s="43"/>
      <c r="H33" s="43"/>
    </row>
    <row r="34" ht="36.0" customHeight="1">
      <c r="A34" s="57" t="s">
        <v>611</v>
      </c>
      <c r="B34" s="4"/>
      <c r="C34" s="4"/>
      <c r="D34" s="4"/>
      <c r="E34" s="4"/>
      <c r="F34" s="4"/>
      <c r="G34" s="4"/>
      <c r="H34" s="4"/>
      <c r="I34" s="4"/>
      <c r="J34" s="5"/>
    </row>
    <row r="35" ht="15.75" customHeight="1">
      <c r="F35" s="43"/>
      <c r="G35" s="43"/>
      <c r="H35" s="43"/>
    </row>
    <row r="36" ht="15.75" customHeight="1">
      <c r="F36" s="43"/>
      <c r="G36" s="43"/>
      <c r="H36" s="43"/>
    </row>
    <row r="37" ht="15.75" customHeight="1">
      <c r="F37" s="43"/>
      <c r="G37" s="43"/>
      <c r="H37" s="43"/>
    </row>
    <row r="38" ht="15.75" customHeight="1">
      <c r="F38" s="43"/>
      <c r="G38" s="43"/>
      <c r="H38" s="43"/>
    </row>
    <row r="39" ht="15.75" customHeight="1">
      <c r="F39" s="43"/>
      <c r="G39" s="43"/>
      <c r="H39" s="43"/>
    </row>
    <row r="40" ht="15.75" customHeight="1">
      <c r="F40" s="43"/>
      <c r="G40" s="43"/>
      <c r="H40" s="43"/>
    </row>
    <row r="41" ht="15.75" customHeight="1">
      <c r="F41" s="43"/>
      <c r="G41" s="43"/>
      <c r="H41" s="43"/>
    </row>
    <row r="42" ht="15.75" customHeight="1">
      <c r="F42" s="43"/>
      <c r="G42" s="43"/>
      <c r="H42" s="43"/>
    </row>
    <row r="43" ht="15.75" customHeight="1">
      <c r="F43" s="43"/>
      <c r="G43" s="43"/>
      <c r="H43" s="43"/>
    </row>
    <row r="44" ht="15.75" customHeight="1">
      <c r="F44" s="43"/>
      <c r="G44" s="43"/>
      <c r="H44" s="43"/>
    </row>
    <row r="45" ht="15.75" customHeight="1">
      <c r="F45" s="43"/>
      <c r="G45" s="43"/>
      <c r="H45" s="43"/>
    </row>
    <row r="46" ht="15.75" customHeight="1">
      <c r="F46" s="43"/>
      <c r="G46" s="43"/>
      <c r="H46" s="43"/>
    </row>
    <row r="47" ht="15.75" customHeight="1">
      <c r="F47" s="43"/>
      <c r="G47" s="43"/>
      <c r="H47" s="43"/>
    </row>
    <row r="48" ht="15.75" customHeight="1">
      <c r="F48" s="43"/>
      <c r="G48" s="43"/>
      <c r="H48" s="43"/>
    </row>
    <row r="49" ht="15.75" customHeight="1">
      <c r="F49" s="43"/>
      <c r="G49" s="43"/>
      <c r="H49" s="43"/>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J1"/>
    <mergeCell ref="A2:J2"/>
    <mergeCell ref="A3:J3"/>
    <mergeCell ref="A4:B4"/>
    <mergeCell ref="A34:J34"/>
  </mergeCells>
  <conditionalFormatting sqref="E6:E29">
    <cfRule type="expression" dxfId="0" priority="1">
      <formula>LEFT($E6,1)="A"</formula>
    </cfRule>
  </conditionalFormatting>
  <conditionalFormatting sqref="E6:E29">
    <cfRule type="expression" dxfId="1" priority="2">
      <formula>LEFT($E6,1)="B"</formula>
    </cfRule>
  </conditionalFormatting>
  <conditionalFormatting sqref="E6:E29">
    <cfRule type="expression" dxfId="2" priority="3">
      <formula>LEFT($E6,1)="C"</formula>
    </cfRule>
  </conditionalFormatting>
  <conditionalFormatting sqref="E6:E29">
    <cfRule type="expression" dxfId="3" priority="4">
      <formula>LEFT($E6,1)="D"</formula>
    </cfRule>
  </conditionalFormatting>
  <dataValidations>
    <dataValidation type="decimal" allowBlank="1" sqref="F6:H33 F35:H49">
      <formula1>0.0</formula1>
      <formula2>1.0</formula2>
    </dataValidation>
  </dataValidations>
  <printOptions/>
  <pageMargins bottom="1.0" footer="0.0" header="0.0" left="0.75" right="0.75" top="1.0"/>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B1E1E"/>
    <pageSetUpPr fitToPage="1"/>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outlineLevelCol="1"/>
  <cols>
    <col customWidth="1" min="1" max="1" width="7.0"/>
    <col customWidth="1" min="2" max="2" width="24.0"/>
    <col customWidth="1" min="3" max="3" width="48.0"/>
    <col customWidth="1" min="4" max="4" width="46.0"/>
    <col customWidth="1" min="5" max="5" width="24.0"/>
    <col customWidth="1" min="6" max="6" width="9.0"/>
    <col customWidth="1" min="7" max="7" width="8.0"/>
    <col customWidth="1" min="8" max="8" width="22.0"/>
    <col customWidth="1" min="9" max="9" width="12.0"/>
    <col customWidth="1" min="10" max="26" width="8.71"/>
  </cols>
  <sheetData>
    <row r="1" ht="30.0" customHeight="1">
      <c r="A1" s="2" t="s">
        <v>650</v>
      </c>
      <c r="B1" s="4"/>
      <c r="C1" s="4"/>
      <c r="D1" s="4"/>
      <c r="E1" s="4"/>
      <c r="F1" s="4"/>
      <c r="G1" s="4"/>
      <c r="H1" s="4"/>
      <c r="I1" s="5"/>
    </row>
    <row r="2" ht="43.5" customHeight="1">
      <c r="A2" s="7" t="s">
        <v>653</v>
      </c>
      <c r="B2" s="4"/>
      <c r="C2" s="4"/>
      <c r="D2" s="4"/>
      <c r="E2" s="4"/>
      <c r="F2" s="4"/>
      <c r="G2" s="4"/>
      <c r="H2" s="4"/>
      <c r="I2" s="5"/>
    </row>
    <row r="3" ht="27.75" customHeight="1">
      <c r="A3" s="10" t="s">
        <v>655</v>
      </c>
    </row>
    <row r="4" ht="39.75" customHeight="1">
      <c r="A4" s="3" t="s">
        <v>65</v>
      </c>
      <c r="B4" s="3" t="s">
        <v>657</v>
      </c>
      <c r="C4" s="3" t="s">
        <v>659</v>
      </c>
      <c r="D4" s="3" t="s">
        <v>660</v>
      </c>
      <c r="E4" s="3" t="s">
        <v>661</v>
      </c>
      <c r="F4" s="9" t="s">
        <v>31</v>
      </c>
      <c r="G4" s="9" t="s">
        <v>33</v>
      </c>
      <c r="H4" s="3" t="s">
        <v>662</v>
      </c>
      <c r="I4" s="3" t="s">
        <v>663</v>
      </c>
    </row>
    <row r="5" ht="33.75" customHeight="1">
      <c r="A5" s="15" t="s">
        <v>664</v>
      </c>
      <c r="B5" s="12" t="s">
        <v>665</v>
      </c>
      <c r="C5" s="17" t="s">
        <v>666</v>
      </c>
      <c r="D5" s="17" t="s">
        <v>667</v>
      </c>
      <c r="E5" s="17" t="s">
        <v>668</v>
      </c>
      <c r="F5" s="21">
        <f>COUNTIF('3. Mũi- Bo truy van Master'!$P$5:$P$400,A5&amp;" ·*")</f>
        <v>17</v>
      </c>
      <c r="G5" s="21">
        <f>COUNTIFS('3. Mũi- Bo truy van Master'!$P$5:$P$400,A5&amp;" ·*",'3. Mũi- Bo truy van Master'!$I$5:$I$400,"CORE 80/20")</f>
        <v>0</v>
      </c>
      <c r="H5" s="17" t="s">
        <v>569</v>
      </c>
      <c r="I5" s="44" t="s">
        <v>676</v>
      </c>
    </row>
    <row r="6" ht="46.5" customHeight="1">
      <c r="A6" s="27" t="s">
        <v>677</v>
      </c>
      <c r="B6" s="26" t="s">
        <v>679</v>
      </c>
      <c r="C6" s="28" t="s">
        <v>681</v>
      </c>
      <c r="D6" s="28" t="s">
        <v>682</v>
      </c>
      <c r="E6" s="28" t="s">
        <v>683</v>
      </c>
      <c r="F6" s="30">
        <f>COUNTIF('3. Mũi- Bo truy van Master'!$P$5:$P$400,A6&amp;" ·*")</f>
        <v>111</v>
      </c>
      <c r="G6" s="30">
        <f>COUNTIFS('3. Mũi- Bo truy van Master'!$P$5:$P$400,A6&amp;" ·*",'3. Mũi- Bo truy van Master'!$I$5:$I$400,"CORE 80/20")</f>
        <v>14</v>
      </c>
      <c r="H6" s="28" t="s">
        <v>686</v>
      </c>
      <c r="I6" s="44" t="s">
        <v>676</v>
      </c>
    </row>
    <row r="7" ht="60.0" customHeight="1">
      <c r="A7" s="15" t="s">
        <v>688</v>
      </c>
      <c r="B7" s="12" t="s">
        <v>689</v>
      </c>
      <c r="C7" s="17" t="s">
        <v>690</v>
      </c>
      <c r="D7" s="17" t="s">
        <v>691</v>
      </c>
      <c r="E7" s="17" t="s">
        <v>692</v>
      </c>
      <c r="F7" s="21">
        <f>COUNTIF('3. Mũi- Bo truy van Master'!$P$5:$P$400,A7&amp;" ·*")</f>
        <v>13</v>
      </c>
      <c r="G7" s="21">
        <f>COUNTIFS('3. Mũi- Bo truy van Master'!$P$5:$P$400,A7&amp;" ·*",'3. Mũi- Bo truy van Master'!$I$5:$I$400,"CORE 80/20")</f>
        <v>0</v>
      </c>
      <c r="H7" s="17" t="s">
        <v>696</v>
      </c>
      <c r="I7" s="44" t="s">
        <v>676</v>
      </c>
    </row>
    <row r="8" ht="60.0" customHeight="1">
      <c r="A8" s="27" t="s">
        <v>698</v>
      </c>
      <c r="B8" s="26" t="s">
        <v>699</v>
      </c>
      <c r="C8" s="28" t="s">
        <v>700</v>
      </c>
      <c r="D8" s="28" t="s">
        <v>702</v>
      </c>
      <c r="E8" s="28" t="s">
        <v>703</v>
      </c>
      <c r="F8" s="30">
        <f>COUNTIF('3. Mũi- Bo truy van Master'!$P$5:$P$400,A8&amp;" ·*")</f>
        <v>4</v>
      </c>
      <c r="G8" s="30">
        <f>COUNTIFS('3. Mũi- Bo truy van Master'!$P$5:$P$400,A8&amp;" ·*",'3. Mũi- Bo truy van Master'!$I$5:$I$400,"CORE 80/20")</f>
        <v>4</v>
      </c>
      <c r="H8" s="28" t="s">
        <v>686</v>
      </c>
      <c r="I8" s="44" t="s">
        <v>676</v>
      </c>
    </row>
    <row r="9" ht="46.5" customHeight="1">
      <c r="A9" s="15" t="s">
        <v>705</v>
      </c>
      <c r="B9" s="12" t="s">
        <v>706</v>
      </c>
      <c r="C9" s="17" t="s">
        <v>708</v>
      </c>
      <c r="D9" s="17" t="s">
        <v>709</v>
      </c>
      <c r="E9" s="17" t="s">
        <v>710</v>
      </c>
      <c r="F9" s="21">
        <f>COUNTIF('3. Mũi- Bo truy van Master'!$P$5:$P$400,A9&amp;" ·*")</f>
        <v>9</v>
      </c>
      <c r="G9" s="21">
        <f>COUNTIFS('3. Mũi- Bo truy van Master'!$P$5:$P$400,A9&amp;" ·*",'3. Mũi- Bo truy van Master'!$I$5:$I$400,"CORE 80/20")</f>
        <v>6</v>
      </c>
      <c r="H9" s="17" t="s">
        <v>715</v>
      </c>
      <c r="I9" s="44" t="s">
        <v>676</v>
      </c>
    </row>
    <row r="10" ht="46.5" customHeight="1">
      <c r="A10" s="27" t="s">
        <v>716</v>
      </c>
      <c r="B10" s="26" t="s">
        <v>717</v>
      </c>
      <c r="C10" s="28" t="s">
        <v>719</v>
      </c>
      <c r="D10" s="28" t="s">
        <v>721</v>
      </c>
      <c r="E10" s="28" t="s">
        <v>722</v>
      </c>
      <c r="F10" s="30">
        <f>COUNTIF('3. Mũi- Bo truy van Master'!$P$5:$P$400,A10&amp;" ·*")</f>
        <v>5</v>
      </c>
      <c r="G10" s="30">
        <f>COUNTIFS('3. Mũi- Bo truy van Master'!$P$5:$P$400,A10&amp;" ·*",'3. Mũi- Bo truy van Master'!$I$5:$I$400,"CORE 80/20")</f>
        <v>2</v>
      </c>
      <c r="H10" s="28" t="s">
        <v>727</v>
      </c>
      <c r="I10" s="44" t="s">
        <v>676</v>
      </c>
    </row>
    <row r="11" ht="46.5" customHeight="1">
      <c r="A11" s="15" t="s">
        <v>728</v>
      </c>
      <c r="B11" s="12" t="s">
        <v>729</v>
      </c>
      <c r="C11" s="17" t="s">
        <v>730</v>
      </c>
      <c r="D11" s="17" t="s">
        <v>731</v>
      </c>
      <c r="E11" s="17" t="s">
        <v>732</v>
      </c>
      <c r="F11" s="21">
        <f>COUNTIF('3. Mũi- Bo truy van Master'!$P$5:$P$400,A11&amp;" ·*")</f>
        <v>10</v>
      </c>
      <c r="G11" s="21">
        <f>COUNTIFS('3. Mũi- Bo truy van Master'!$P$5:$P$400,A11&amp;" ·*",'3. Mũi- Bo truy van Master'!$I$5:$I$400,"CORE 80/20")</f>
        <v>7</v>
      </c>
      <c r="H11" s="17" t="s">
        <v>686</v>
      </c>
      <c r="I11" s="44" t="s">
        <v>676</v>
      </c>
    </row>
    <row r="12" ht="33.75" customHeight="1">
      <c r="A12" s="27" t="s">
        <v>735</v>
      </c>
      <c r="B12" s="26" t="s">
        <v>737</v>
      </c>
      <c r="C12" s="28" t="s">
        <v>738</v>
      </c>
      <c r="D12" s="28" t="s">
        <v>740</v>
      </c>
      <c r="E12" s="28" t="s">
        <v>299</v>
      </c>
      <c r="F12" s="30">
        <f>COUNTIF('3. Mũi- Bo truy van Master'!$P$5:$P$400,A12&amp;" ·*")</f>
        <v>2</v>
      </c>
      <c r="G12" s="30">
        <f>COUNTIFS('3. Mũi- Bo truy van Master'!$P$5:$P$400,A12&amp;" ·*",'3. Mũi- Bo truy van Master'!$I$5:$I$400,"CORE 80/20")</f>
        <v>1</v>
      </c>
      <c r="H12" s="28" t="s">
        <v>743</v>
      </c>
      <c r="I12" s="44" t="s">
        <v>676</v>
      </c>
    </row>
    <row r="13" ht="46.5" customHeight="1">
      <c r="A13" s="15" t="s">
        <v>745</v>
      </c>
      <c r="B13" s="12" t="s">
        <v>746</v>
      </c>
      <c r="C13" s="17" t="s">
        <v>747</v>
      </c>
      <c r="D13" s="17" t="s">
        <v>748</v>
      </c>
      <c r="E13" s="17" t="s">
        <v>749</v>
      </c>
      <c r="F13" s="21">
        <f>COUNTIF('3. Mũi- Bo truy van Master'!$P$5:$P$400,A13&amp;" ·*")</f>
        <v>2</v>
      </c>
      <c r="G13" s="21">
        <f>COUNTIFS('3. Mũi- Bo truy van Master'!$P$5:$P$400,A13&amp;" ·*",'3. Mũi- Bo truy van Master'!$I$5:$I$400,"CORE 80/20")</f>
        <v>0</v>
      </c>
      <c r="H13" s="17" t="s">
        <v>686</v>
      </c>
      <c r="I13" s="44" t="s">
        <v>676</v>
      </c>
    </row>
    <row r="14" ht="46.5" customHeight="1">
      <c r="A14" s="27" t="s">
        <v>753</v>
      </c>
      <c r="B14" s="26" t="s">
        <v>754</v>
      </c>
      <c r="C14" s="28" t="s">
        <v>755</v>
      </c>
      <c r="D14" s="28" t="s">
        <v>756</v>
      </c>
      <c r="E14" s="28" t="s">
        <v>757</v>
      </c>
      <c r="F14" s="30">
        <f>COUNTIF('3. Mũi- Bo truy van Master'!$P$5:$P$400,A14&amp;" ·*")</f>
        <v>88</v>
      </c>
      <c r="G14" s="30">
        <f>COUNTIFS('3. Mũi- Bo truy van Master'!$P$5:$P$400,A14&amp;" ·*",'3. Mũi- Bo truy van Master'!$I$5:$I$400,"CORE 80/20")</f>
        <v>36</v>
      </c>
      <c r="H14" s="28" t="s">
        <v>761</v>
      </c>
      <c r="I14" s="44" t="s">
        <v>676</v>
      </c>
    </row>
    <row r="15" ht="46.5" customHeight="1">
      <c r="A15" s="15" t="s">
        <v>763</v>
      </c>
      <c r="B15" s="12" t="s">
        <v>764</v>
      </c>
      <c r="C15" s="17" t="s">
        <v>765</v>
      </c>
      <c r="D15" s="17" t="s">
        <v>766</v>
      </c>
      <c r="E15" s="17" t="s">
        <v>767</v>
      </c>
      <c r="F15" s="21">
        <f>COUNTIF('3. Mũi- Bo truy van Master'!$P$5:$P$400,A15&amp;" ·*")</f>
        <v>0</v>
      </c>
      <c r="G15" s="21">
        <f>COUNTIFS('3. Mũi- Bo truy van Master'!$P$5:$P$400,A15&amp;" ·*",'3. Mũi- Bo truy van Master'!$I$5:$I$400,"CORE 80/20")</f>
        <v>0</v>
      </c>
      <c r="H15" s="17" t="s">
        <v>770</v>
      </c>
      <c r="I15" s="44" t="s">
        <v>676</v>
      </c>
    </row>
    <row r="16" ht="33.75" customHeight="1">
      <c r="A16" s="27" t="s">
        <v>772</v>
      </c>
      <c r="B16" s="26" t="s">
        <v>773</v>
      </c>
      <c r="C16" s="28" t="s">
        <v>774</v>
      </c>
      <c r="D16" s="28" t="s">
        <v>775</v>
      </c>
      <c r="E16" s="28" t="s">
        <v>449</v>
      </c>
      <c r="F16" s="30">
        <f>COUNTIF('3. Mũi- Bo truy van Master'!$P$5:$P$400,A16&amp;" ·*")</f>
        <v>1</v>
      </c>
      <c r="G16" s="30">
        <f>COUNTIFS('3. Mũi- Bo truy van Master'!$P$5:$P$400,A16&amp;" ·*",'3. Mũi- Bo truy van Master'!$I$5:$I$400,"CORE 80/20")</f>
        <v>0</v>
      </c>
      <c r="H16" s="28" t="s">
        <v>770</v>
      </c>
      <c r="I16" s="44" t="s">
        <v>676</v>
      </c>
    </row>
    <row r="17">
      <c r="A17" s="82"/>
      <c r="B17" s="83" t="s">
        <v>468</v>
      </c>
      <c r="C17" s="82"/>
      <c r="D17" s="82"/>
      <c r="E17" s="82"/>
      <c r="F17" s="85">
        <f t="shared" ref="F17:G17" si="1">SUM(F5:F16)</f>
        <v>262</v>
      </c>
      <c r="G17" s="85">
        <f t="shared" si="1"/>
        <v>70</v>
      </c>
      <c r="H17" s="82"/>
      <c r="I17" s="82"/>
    </row>
    <row r="19" ht="36.0" customHeight="1">
      <c r="A19" s="101" t="s">
        <v>782</v>
      </c>
      <c r="B19" s="4"/>
      <c r="C19" s="4"/>
      <c r="D19" s="4"/>
      <c r="E19" s="4"/>
      <c r="F19" s="4"/>
      <c r="G19" s="4"/>
      <c r="H19" s="4"/>
      <c r="I19"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I1"/>
    <mergeCell ref="A2:I2"/>
    <mergeCell ref="A3:I3"/>
    <mergeCell ref="A19:I19"/>
  </mergeCells>
  <conditionalFormatting sqref="G5:G16">
    <cfRule type="colorScale" priority="1">
      <colorScale>
        <cfvo type="formula" val="0"/>
        <cfvo type="max" val="0"/>
        <color rgb="FFFFFFFF"/>
        <color rgb="FFE6A4A4"/>
      </colorScale>
    </cfRule>
  </conditionalFormatting>
  <dataValidations>
    <dataValidation type="list" allowBlank="1" sqref="I5:I16">
      <formula1>"Chưa,Đã phổ biến"</formula1>
    </dataValidation>
  </dataValidations>
  <printOptions/>
  <pageMargins bottom="1.0" footer="0.0" header="0.0" left="0.75" right="0.75" top="1.0"/>
  <pageSetup fitToHeight="0" paperSize="9" orientation="landscape"/>
  <drawing r:id="rId1"/>
</worksheet>
</file>